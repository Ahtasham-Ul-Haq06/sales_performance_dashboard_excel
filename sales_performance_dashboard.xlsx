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Data Analyst\MS Excel Projects\"/>
    </mc:Choice>
  </mc:AlternateContent>
  <xr:revisionPtr revIDLastSave="0" documentId="13_ncr:1_{B844AAF0-9DC2-49AB-9D1E-5DC88A11986F}" xr6:coauthVersionLast="47" xr6:coauthVersionMax="47" xr10:uidLastSave="{00000000-0000-0000-0000-000000000000}"/>
  <bookViews>
    <workbookView xWindow="-110" yWindow="-110" windowWidth="19420" windowHeight="10420" firstSheet="2" activeTab="5" xr2:uid="{00000000-000D-0000-FFFF-FFFF00000000}"/>
  </bookViews>
  <sheets>
    <sheet name="Sales_Data" sheetId="1" r:id="rId1"/>
    <sheet name="Pivot_Region_Sales" sheetId="3" r:id="rId2"/>
    <sheet name="Pivot_Category_Analysis" sheetId="4" r:id="rId3"/>
    <sheet name="Pivot_Sales_Person" sheetId="5" r:id="rId4"/>
    <sheet name="Pivot_Payment_Status" sheetId="6" r:id="rId5"/>
    <sheet name="Dashboard" sheetId="11" r:id="rId6"/>
  </sheets>
  <definedNames>
    <definedName name="Slicer_Payment_Status">#N/A</definedName>
    <definedName name="Slicer_Product_Category">#N/A</definedName>
    <definedName name="Slicer_Region">#N/A</definedName>
    <definedName name="Slicer_Sales_Pers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 i="11" l="1"/>
  <c r="J7" i="11"/>
  <c r="F7" i="11"/>
</calcChain>
</file>

<file path=xl/sharedStrings.xml><?xml version="1.0" encoding="utf-8"?>
<sst xmlns="http://schemas.openxmlformats.org/spreadsheetml/2006/main" count="7043" uniqueCount="1049">
  <si>
    <t>Invoice_ID</t>
  </si>
  <si>
    <t>Invoice_Date</t>
  </si>
  <si>
    <t>Customer_Name</t>
  </si>
  <si>
    <t>Region</t>
  </si>
  <si>
    <t>Product_Category</t>
  </si>
  <si>
    <t>Product_Name</t>
  </si>
  <si>
    <t>Quantity</t>
  </si>
  <si>
    <t>Unit_Price</t>
  </si>
  <si>
    <t>Total_Amount</t>
  </si>
  <si>
    <t>Sales_Person</t>
  </si>
  <si>
    <t>Payment_Status</t>
  </si>
  <si>
    <t>INV-1001</t>
  </si>
  <si>
    <t>Zahid Electronics</t>
  </si>
  <si>
    <t>South</t>
  </si>
  <si>
    <t>Electronics</t>
  </si>
  <si>
    <t>Headphones</t>
  </si>
  <si>
    <t>Hassan</t>
  </si>
  <si>
    <t>Pending</t>
  </si>
  <si>
    <t>INV-1002</t>
  </si>
  <si>
    <t>North</t>
  </si>
  <si>
    <t>Mobile</t>
  </si>
  <si>
    <t>Ahsan</t>
  </si>
  <si>
    <t>Unpaid</t>
  </si>
  <si>
    <t>INV-1003</t>
  </si>
  <si>
    <t>Khan Store</t>
  </si>
  <si>
    <t>Clothing</t>
  </si>
  <si>
    <t>Shirt</t>
  </si>
  <si>
    <t>Bilal</t>
  </si>
  <si>
    <t>INV-1004</t>
  </si>
  <si>
    <t>Ali Traders</t>
  </si>
  <si>
    <t>Grocery</t>
  </si>
  <si>
    <t>Oil</t>
  </si>
  <si>
    <t>Faizan</t>
  </si>
  <si>
    <t>Paid</t>
  </si>
  <si>
    <t>INV-1005</t>
  </si>
  <si>
    <t>East</t>
  </si>
  <si>
    <t>INV-1006</t>
  </si>
  <si>
    <t>Ahmed Mart</t>
  </si>
  <si>
    <t>West</t>
  </si>
  <si>
    <t>Stationery</t>
  </si>
  <si>
    <t>Notebook</t>
  </si>
  <si>
    <t>INV-1007</t>
  </si>
  <si>
    <t>INV-1008</t>
  </si>
  <si>
    <t>Usman Enterprises</t>
  </si>
  <si>
    <t>Sugar</t>
  </si>
  <si>
    <t>INV-1009</t>
  </si>
  <si>
    <t>INV-1010</t>
  </si>
  <si>
    <t>INV-1011</t>
  </si>
  <si>
    <t>Jeans</t>
  </si>
  <si>
    <t>INV-1012</t>
  </si>
  <si>
    <t>INV-1013</t>
  </si>
  <si>
    <t>INV-1014</t>
  </si>
  <si>
    <t>INV-1015</t>
  </si>
  <si>
    <t>INV-1016</t>
  </si>
  <si>
    <t>INV-1017</t>
  </si>
  <si>
    <t>Marker</t>
  </si>
  <si>
    <t>INV-1018</t>
  </si>
  <si>
    <t>INV-1019</t>
  </si>
  <si>
    <t>Jacket</t>
  </si>
  <si>
    <t>INV-1020</t>
  </si>
  <si>
    <t>INV-1021</t>
  </si>
  <si>
    <t>INV-1022</t>
  </si>
  <si>
    <t>Laptop</t>
  </si>
  <si>
    <t>INV-1023</t>
  </si>
  <si>
    <t>INV-1024</t>
  </si>
  <si>
    <t>Pen</t>
  </si>
  <si>
    <t>INV-1025</t>
  </si>
  <si>
    <t>INV-1026</t>
  </si>
  <si>
    <t>INV-1027</t>
  </si>
  <si>
    <t>INV-1028</t>
  </si>
  <si>
    <t>INV-1029</t>
  </si>
  <si>
    <t>INV-1030</t>
  </si>
  <si>
    <t>INV-1031</t>
  </si>
  <si>
    <t>INV-1032</t>
  </si>
  <si>
    <t>INV-1033</t>
  </si>
  <si>
    <t>INV-1034</t>
  </si>
  <si>
    <t>INV-1035</t>
  </si>
  <si>
    <t>INV-1036</t>
  </si>
  <si>
    <t>INV-1037</t>
  </si>
  <si>
    <t>INV-1038</t>
  </si>
  <si>
    <t>INV-1039</t>
  </si>
  <si>
    <t>Rice</t>
  </si>
  <si>
    <t>INV-1040</t>
  </si>
  <si>
    <t>INV-1041</t>
  </si>
  <si>
    <t>INV-1042</t>
  </si>
  <si>
    <t>INV-1043</t>
  </si>
  <si>
    <t>INV-1044</t>
  </si>
  <si>
    <t>INV-1045</t>
  </si>
  <si>
    <t>INV-1046</t>
  </si>
  <si>
    <t>INV-1047</t>
  </si>
  <si>
    <t>INV-1048</t>
  </si>
  <si>
    <t>INV-1049</t>
  </si>
  <si>
    <t>INV-1050</t>
  </si>
  <si>
    <t>INV-1051</t>
  </si>
  <si>
    <t>INV-1052</t>
  </si>
  <si>
    <t>INV-1053</t>
  </si>
  <si>
    <t>INV-1054</t>
  </si>
  <si>
    <t>INV-1055</t>
  </si>
  <si>
    <t>INV-1056</t>
  </si>
  <si>
    <t>INV-1057</t>
  </si>
  <si>
    <t>INV-1058</t>
  </si>
  <si>
    <t>INV-1059</t>
  </si>
  <si>
    <t>INV-1060</t>
  </si>
  <si>
    <t>INV-1061</t>
  </si>
  <si>
    <t>INV-1062</t>
  </si>
  <si>
    <t>INV-1063</t>
  </si>
  <si>
    <t>INV-1064</t>
  </si>
  <si>
    <t>INV-1065</t>
  </si>
  <si>
    <t>INV-1066</t>
  </si>
  <si>
    <t>INV-1067</t>
  </si>
  <si>
    <t>INV-1068</t>
  </si>
  <si>
    <t>INV-1069</t>
  </si>
  <si>
    <t>INV-1070</t>
  </si>
  <si>
    <t>INV-1071</t>
  </si>
  <si>
    <t>INV-1072</t>
  </si>
  <si>
    <t>INV-1073</t>
  </si>
  <si>
    <t>INV-1074</t>
  </si>
  <si>
    <t>INV-1075</t>
  </si>
  <si>
    <t>INV-1076</t>
  </si>
  <si>
    <t>INV-1077</t>
  </si>
  <si>
    <t>INV-1078</t>
  </si>
  <si>
    <t>INV-1079</t>
  </si>
  <si>
    <t>INV-1080</t>
  </si>
  <si>
    <t>INV-1081</t>
  </si>
  <si>
    <t>INV-1082</t>
  </si>
  <si>
    <t>INV-1083</t>
  </si>
  <si>
    <t>INV-1084</t>
  </si>
  <si>
    <t>INV-1085</t>
  </si>
  <si>
    <t>INV-1086</t>
  </si>
  <si>
    <t>INV-1087</t>
  </si>
  <si>
    <t>INV-1088</t>
  </si>
  <si>
    <t>INV-1089</t>
  </si>
  <si>
    <t>INV-1090</t>
  </si>
  <si>
    <t>INV-1091</t>
  </si>
  <si>
    <t>INV-1092</t>
  </si>
  <si>
    <t>INV-1093</t>
  </si>
  <si>
    <t>INV-1094</t>
  </si>
  <si>
    <t>INV-1095</t>
  </si>
  <si>
    <t>INV-1096</t>
  </si>
  <si>
    <t>INV-1097</t>
  </si>
  <si>
    <t>INV-1098</t>
  </si>
  <si>
    <t>INV-1099</t>
  </si>
  <si>
    <t>INV-1100</t>
  </si>
  <si>
    <t>INV-1101</t>
  </si>
  <si>
    <t>INV-1102</t>
  </si>
  <si>
    <t>INV-1103</t>
  </si>
  <si>
    <t>INV-1104</t>
  </si>
  <si>
    <t>INV-1105</t>
  </si>
  <si>
    <t>INV-1106</t>
  </si>
  <si>
    <t>INV-1107</t>
  </si>
  <si>
    <t>INV-1108</t>
  </si>
  <si>
    <t>INV-1109</t>
  </si>
  <si>
    <t>INV-1110</t>
  </si>
  <si>
    <t>INV-1111</t>
  </si>
  <si>
    <t>INV-1112</t>
  </si>
  <si>
    <t>INV-1113</t>
  </si>
  <si>
    <t>INV-1114</t>
  </si>
  <si>
    <t>INV-1115</t>
  </si>
  <si>
    <t>INV-1116</t>
  </si>
  <si>
    <t>INV-1117</t>
  </si>
  <si>
    <t>INV-1118</t>
  </si>
  <si>
    <t>INV-1119</t>
  </si>
  <si>
    <t>INV-1120</t>
  </si>
  <si>
    <t>INV-1121</t>
  </si>
  <si>
    <t>INV-1122</t>
  </si>
  <si>
    <t>INV-1123</t>
  </si>
  <si>
    <t>INV-1124</t>
  </si>
  <si>
    <t>INV-1125</t>
  </si>
  <si>
    <t>INV-1126</t>
  </si>
  <si>
    <t>INV-1127</t>
  </si>
  <si>
    <t>INV-1128</t>
  </si>
  <si>
    <t>INV-1129</t>
  </si>
  <si>
    <t>INV-1130</t>
  </si>
  <si>
    <t>INV-1131</t>
  </si>
  <si>
    <t>INV-1132</t>
  </si>
  <si>
    <t>INV-1133</t>
  </si>
  <si>
    <t>INV-1134</t>
  </si>
  <si>
    <t>INV-1135</t>
  </si>
  <si>
    <t>INV-1136</t>
  </si>
  <si>
    <t>INV-1137</t>
  </si>
  <si>
    <t>INV-1138</t>
  </si>
  <si>
    <t>INV-1139</t>
  </si>
  <si>
    <t>INV-1140</t>
  </si>
  <si>
    <t>INV-1141</t>
  </si>
  <si>
    <t>INV-1142</t>
  </si>
  <si>
    <t>INV-1143</t>
  </si>
  <si>
    <t>INV-1144</t>
  </si>
  <si>
    <t>INV-1145</t>
  </si>
  <si>
    <t>INV-1146</t>
  </si>
  <si>
    <t>INV-1147</t>
  </si>
  <si>
    <t>INV-1148</t>
  </si>
  <si>
    <t>INV-1149</t>
  </si>
  <si>
    <t>INV-1150</t>
  </si>
  <si>
    <t>INV-1151</t>
  </si>
  <si>
    <t>INV-1152</t>
  </si>
  <si>
    <t>INV-1153</t>
  </si>
  <si>
    <t>INV-1154</t>
  </si>
  <si>
    <t>INV-1155</t>
  </si>
  <si>
    <t>INV-1156</t>
  </si>
  <si>
    <t>INV-1157</t>
  </si>
  <si>
    <t>INV-1158</t>
  </si>
  <si>
    <t>INV-1159</t>
  </si>
  <si>
    <t>INV-1160</t>
  </si>
  <si>
    <t>INV-1161</t>
  </si>
  <si>
    <t>INV-1162</t>
  </si>
  <si>
    <t>INV-1163</t>
  </si>
  <si>
    <t>INV-1164</t>
  </si>
  <si>
    <t>INV-1165</t>
  </si>
  <si>
    <t>INV-1166</t>
  </si>
  <si>
    <t>INV-1167</t>
  </si>
  <si>
    <t>INV-1168</t>
  </si>
  <si>
    <t>INV-1169</t>
  </si>
  <si>
    <t>INV-1170</t>
  </si>
  <si>
    <t>INV-1171</t>
  </si>
  <si>
    <t>INV-1172</t>
  </si>
  <si>
    <t>INV-1173</t>
  </si>
  <si>
    <t>INV-1174</t>
  </si>
  <si>
    <t>INV-1175</t>
  </si>
  <si>
    <t>INV-1176</t>
  </si>
  <si>
    <t>INV-1177</t>
  </si>
  <si>
    <t>INV-1178</t>
  </si>
  <si>
    <t>INV-1179</t>
  </si>
  <si>
    <t>INV-1180</t>
  </si>
  <si>
    <t>INV-1181</t>
  </si>
  <si>
    <t>INV-1182</t>
  </si>
  <si>
    <t>INV-1183</t>
  </si>
  <si>
    <t>INV-1184</t>
  </si>
  <si>
    <t>INV-1185</t>
  </si>
  <si>
    <t>INV-1186</t>
  </si>
  <si>
    <t>INV-1187</t>
  </si>
  <si>
    <t>INV-1188</t>
  </si>
  <si>
    <t>INV-1189</t>
  </si>
  <si>
    <t>INV-1190</t>
  </si>
  <si>
    <t>INV-1191</t>
  </si>
  <si>
    <t>INV-1192</t>
  </si>
  <si>
    <t>INV-1193</t>
  </si>
  <si>
    <t>INV-1194</t>
  </si>
  <si>
    <t>INV-1195</t>
  </si>
  <si>
    <t>INV-1196</t>
  </si>
  <si>
    <t>INV-1197</t>
  </si>
  <si>
    <t>INV-1198</t>
  </si>
  <si>
    <t>INV-1199</t>
  </si>
  <si>
    <t>INV-1200</t>
  </si>
  <si>
    <t>INV-1201</t>
  </si>
  <si>
    <t>INV-1202</t>
  </si>
  <si>
    <t>INV-1203</t>
  </si>
  <si>
    <t>INV-1204</t>
  </si>
  <si>
    <t>INV-1205</t>
  </si>
  <si>
    <t>INV-1206</t>
  </si>
  <si>
    <t>INV-1207</t>
  </si>
  <si>
    <t>INV-1208</t>
  </si>
  <si>
    <t>INV-1209</t>
  </si>
  <si>
    <t>INV-1210</t>
  </si>
  <si>
    <t>INV-1211</t>
  </si>
  <si>
    <t>INV-1212</t>
  </si>
  <si>
    <t>INV-1213</t>
  </si>
  <si>
    <t>INV-1214</t>
  </si>
  <si>
    <t>INV-1215</t>
  </si>
  <si>
    <t>INV-1216</t>
  </si>
  <si>
    <t>INV-1217</t>
  </si>
  <si>
    <t>INV-1218</t>
  </si>
  <si>
    <t>INV-1219</t>
  </si>
  <si>
    <t>INV-1220</t>
  </si>
  <si>
    <t>INV-1221</t>
  </si>
  <si>
    <t>INV-1222</t>
  </si>
  <si>
    <t>INV-1223</t>
  </si>
  <si>
    <t>INV-1224</t>
  </si>
  <si>
    <t>INV-1225</t>
  </si>
  <si>
    <t>INV-1226</t>
  </si>
  <si>
    <t>INV-1227</t>
  </si>
  <si>
    <t>INV-1228</t>
  </si>
  <si>
    <t>INV-1229</t>
  </si>
  <si>
    <t>INV-1230</t>
  </si>
  <si>
    <t>INV-1231</t>
  </si>
  <si>
    <t>INV-1232</t>
  </si>
  <si>
    <t>INV-1233</t>
  </si>
  <si>
    <t>INV-1234</t>
  </si>
  <si>
    <t>INV-1235</t>
  </si>
  <si>
    <t>INV-1236</t>
  </si>
  <si>
    <t>INV-1237</t>
  </si>
  <si>
    <t>INV-1238</t>
  </si>
  <si>
    <t>INV-1239</t>
  </si>
  <si>
    <t>INV-1240</t>
  </si>
  <si>
    <t>INV-1241</t>
  </si>
  <si>
    <t>INV-1242</t>
  </si>
  <si>
    <t>INV-1243</t>
  </si>
  <si>
    <t>INV-1244</t>
  </si>
  <si>
    <t>INV-1245</t>
  </si>
  <si>
    <t>INV-1246</t>
  </si>
  <si>
    <t>INV-1247</t>
  </si>
  <si>
    <t>INV-1248</t>
  </si>
  <si>
    <t>INV-1249</t>
  </si>
  <si>
    <t>INV-1250</t>
  </si>
  <si>
    <t>INV-1251</t>
  </si>
  <si>
    <t>INV-1252</t>
  </si>
  <si>
    <t>INV-1253</t>
  </si>
  <si>
    <t>INV-1254</t>
  </si>
  <si>
    <t>INV-1255</t>
  </si>
  <si>
    <t>INV-1256</t>
  </si>
  <si>
    <t>INV-1257</t>
  </si>
  <si>
    <t>INV-1258</t>
  </si>
  <si>
    <t>INV-1259</t>
  </si>
  <si>
    <t>INV-1260</t>
  </si>
  <si>
    <t>INV-1261</t>
  </si>
  <si>
    <t>INV-1262</t>
  </si>
  <si>
    <t>INV-1263</t>
  </si>
  <si>
    <t>INV-1264</t>
  </si>
  <si>
    <t>INV-1265</t>
  </si>
  <si>
    <t>INV-1266</t>
  </si>
  <si>
    <t>INV-1267</t>
  </si>
  <si>
    <t>INV-1268</t>
  </si>
  <si>
    <t>INV-1269</t>
  </si>
  <si>
    <t>INV-1270</t>
  </si>
  <si>
    <t>INV-1271</t>
  </si>
  <si>
    <t>INV-1272</t>
  </si>
  <si>
    <t>INV-1273</t>
  </si>
  <si>
    <t>INV-1274</t>
  </si>
  <si>
    <t>INV-1275</t>
  </si>
  <si>
    <t>INV-1276</t>
  </si>
  <si>
    <t>INV-1277</t>
  </si>
  <si>
    <t>INV-1278</t>
  </si>
  <si>
    <t>INV-1279</t>
  </si>
  <si>
    <t>INV-1280</t>
  </si>
  <si>
    <t>INV-1281</t>
  </si>
  <si>
    <t>INV-1282</t>
  </si>
  <si>
    <t>INV-1283</t>
  </si>
  <si>
    <t>INV-1284</t>
  </si>
  <si>
    <t>INV-1285</t>
  </si>
  <si>
    <t>INV-1286</t>
  </si>
  <si>
    <t>INV-1287</t>
  </si>
  <si>
    <t>INV-1288</t>
  </si>
  <si>
    <t>INV-1289</t>
  </si>
  <si>
    <t>INV-1290</t>
  </si>
  <si>
    <t>INV-1291</t>
  </si>
  <si>
    <t>INV-1292</t>
  </si>
  <si>
    <t>INV-1293</t>
  </si>
  <si>
    <t>INV-1294</t>
  </si>
  <si>
    <t>INV-1295</t>
  </si>
  <si>
    <t>INV-1296</t>
  </si>
  <si>
    <t>INV-1297</t>
  </si>
  <si>
    <t>INV-1298</t>
  </si>
  <si>
    <t>INV-1299</t>
  </si>
  <si>
    <t>INV-1300</t>
  </si>
  <si>
    <t>INV-1301</t>
  </si>
  <si>
    <t>INV-1302</t>
  </si>
  <si>
    <t>INV-1303</t>
  </si>
  <si>
    <t>INV-1304</t>
  </si>
  <si>
    <t>INV-1305</t>
  </si>
  <si>
    <t>INV-1306</t>
  </si>
  <si>
    <t>INV-1307</t>
  </si>
  <si>
    <t>INV-1308</t>
  </si>
  <si>
    <t>INV-1309</t>
  </si>
  <si>
    <t>INV-1310</t>
  </si>
  <si>
    <t>INV-1311</t>
  </si>
  <si>
    <t>INV-1312</t>
  </si>
  <si>
    <t>INV-1313</t>
  </si>
  <si>
    <t>INV-1314</t>
  </si>
  <si>
    <t>INV-1315</t>
  </si>
  <si>
    <t>INV-1316</t>
  </si>
  <si>
    <t>INV-1317</t>
  </si>
  <si>
    <t>INV-1318</t>
  </si>
  <si>
    <t>INV-1319</t>
  </si>
  <si>
    <t>INV-1320</t>
  </si>
  <si>
    <t>INV-1321</t>
  </si>
  <si>
    <t>INV-1322</t>
  </si>
  <si>
    <t>INV-1323</t>
  </si>
  <si>
    <t>INV-1324</t>
  </si>
  <si>
    <t>INV-1325</t>
  </si>
  <si>
    <t>INV-1326</t>
  </si>
  <si>
    <t>INV-1327</t>
  </si>
  <si>
    <t>INV-1328</t>
  </si>
  <si>
    <t>INV-1329</t>
  </si>
  <si>
    <t>INV-1330</t>
  </si>
  <si>
    <t>INV-1331</t>
  </si>
  <si>
    <t>INV-1332</t>
  </si>
  <si>
    <t>INV-1333</t>
  </si>
  <si>
    <t>INV-1334</t>
  </si>
  <si>
    <t>INV-1335</t>
  </si>
  <si>
    <t>INV-1336</t>
  </si>
  <si>
    <t>INV-1337</t>
  </si>
  <si>
    <t>INV-1338</t>
  </si>
  <si>
    <t>INV-1339</t>
  </si>
  <si>
    <t>INV-1340</t>
  </si>
  <si>
    <t>INV-1341</t>
  </si>
  <si>
    <t>INV-1342</t>
  </si>
  <si>
    <t>INV-1343</t>
  </si>
  <si>
    <t>INV-1344</t>
  </si>
  <si>
    <t>INV-1345</t>
  </si>
  <si>
    <t>INV-1346</t>
  </si>
  <si>
    <t>INV-1347</t>
  </si>
  <si>
    <t>INV-1348</t>
  </si>
  <si>
    <t>INV-1349</t>
  </si>
  <si>
    <t>INV-1350</t>
  </si>
  <si>
    <t>INV-1351</t>
  </si>
  <si>
    <t>INV-1352</t>
  </si>
  <si>
    <t>INV-1353</t>
  </si>
  <si>
    <t>INV-1354</t>
  </si>
  <si>
    <t>INV-1355</t>
  </si>
  <si>
    <t>INV-1356</t>
  </si>
  <si>
    <t>INV-1357</t>
  </si>
  <si>
    <t>INV-1358</t>
  </si>
  <si>
    <t>INV-1359</t>
  </si>
  <si>
    <t>INV-1360</t>
  </si>
  <si>
    <t>INV-1361</t>
  </si>
  <si>
    <t>INV-1362</t>
  </si>
  <si>
    <t>INV-1363</t>
  </si>
  <si>
    <t>INV-1364</t>
  </si>
  <si>
    <t>INV-1365</t>
  </si>
  <si>
    <t>INV-1366</t>
  </si>
  <si>
    <t>INV-1367</t>
  </si>
  <si>
    <t>INV-1368</t>
  </si>
  <si>
    <t>INV-1369</t>
  </si>
  <si>
    <t>INV-1370</t>
  </si>
  <si>
    <t>INV-1371</t>
  </si>
  <si>
    <t>INV-1372</t>
  </si>
  <si>
    <t>INV-1373</t>
  </si>
  <si>
    <t>INV-1374</t>
  </si>
  <si>
    <t>INV-1375</t>
  </si>
  <si>
    <t>INV-1376</t>
  </si>
  <si>
    <t>INV-1377</t>
  </si>
  <si>
    <t>INV-1378</t>
  </si>
  <si>
    <t>INV-1379</t>
  </si>
  <si>
    <t>INV-1380</t>
  </si>
  <si>
    <t>INV-1381</t>
  </si>
  <si>
    <t>INV-1382</t>
  </si>
  <si>
    <t>INV-1383</t>
  </si>
  <si>
    <t>INV-1384</t>
  </si>
  <si>
    <t>INV-1385</t>
  </si>
  <si>
    <t>INV-1386</t>
  </si>
  <si>
    <t>INV-1387</t>
  </si>
  <si>
    <t>INV-1388</t>
  </si>
  <si>
    <t>INV-1389</t>
  </si>
  <si>
    <t>INV-1390</t>
  </si>
  <si>
    <t>INV-1391</t>
  </si>
  <si>
    <t>INV-1392</t>
  </si>
  <si>
    <t>INV-1393</t>
  </si>
  <si>
    <t>INV-1394</t>
  </si>
  <si>
    <t>INV-1395</t>
  </si>
  <si>
    <t>INV-1396</t>
  </si>
  <si>
    <t>INV-1397</t>
  </si>
  <si>
    <t>INV-1398</t>
  </si>
  <si>
    <t>INV-1399</t>
  </si>
  <si>
    <t>INV-1400</t>
  </si>
  <si>
    <t>INV-1401</t>
  </si>
  <si>
    <t>INV-1402</t>
  </si>
  <si>
    <t>INV-1403</t>
  </si>
  <si>
    <t>INV-1404</t>
  </si>
  <si>
    <t>INV-1405</t>
  </si>
  <si>
    <t>INV-1406</t>
  </si>
  <si>
    <t>INV-1407</t>
  </si>
  <si>
    <t>INV-1408</t>
  </si>
  <si>
    <t>INV-1409</t>
  </si>
  <si>
    <t>INV-1410</t>
  </si>
  <si>
    <t>INV-1411</t>
  </si>
  <si>
    <t>INV-1412</t>
  </si>
  <si>
    <t>INV-1413</t>
  </si>
  <si>
    <t>INV-1414</t>
  </si>
  <si>
    <t>INV-1415</t>
  </si>
  <si>
    <t>INV-1416</t>
  </si>
  <si>
    <t>INV-1417</t>
  </si>
  <si>
    <t>INV-1418</t>
  </si>
  <si>
    <t>INV-1419</t>
  </si>
  <si>
    <t>INV-1420</t>
  </si>
  <si>
    <t>INV-1421</t>
  </si>
  <si>
    <t>INV-1422</t>
  </si>
  <si>
    <t>INV-1423</t>
  </si>
  <si>
    <t>INV-1424</t>
  </si>
  <si>
    <t>INV-1425</t>
  </si>
  <si>
    <t>INV-1426</t>
  </si>
  <si>
    <t>INV-1427</t>
  </si>
  <si>
    <t>INV-1428</t>
  </si>
  <si>
    <t>INV-1429</t>
  </si>
  <si>
    <t>INV-1430</t>
  </si>
  <si>
    <t>INV-1431</t>
  </si>
  <si>
    <t>INV-1432</t>
  </si>
  <si>
    <t>INV-1433</t>
  </si>
  <si>
    <t>INV-1434</t>
  </si>
  <si>
    <t>INV-1435</t>
  </si>
  <si>
    <t>INV-1436</t>
  </si>
  <si>
    <t>INV-1437</t>
  </si>
  <si>
    <t>INV-1438</t>
  </si>
  <si>
    <t>INV-1439</t>
  </si>
  <si>
    <t>INV-1440</t>
  </si>
  <si>
    <t>INV-1441</t>
  </si>
  <si>
    <t>INV-1442</t>
  </si>
  <si>
    <t>INV-1443</t>
  </si>
  <si>
    <t>INV-1444</t>
  </si>
  <si>
    <t>INV-1445</t>
  </si>
  <si>
    <t>INV-1446</t>
  </si>
  <si>
    <t>INV-1447</t>
  </si>
  <si>
    <t>INV-1448</t>
  </si>
  <si>
    <t>INV-1449</t>
  </si>
  <si>
    <t>INV-1450</t>
  </si>
  <si>
    <t>INV-1451</t>
  </si>
  <si>
    <t>INV-1452</t>
  </si>
  <si>
    <t>INV-1453</t>
  </si>
  <si>
    <t>INV-1454</t>
  </si>
  <si>
    <t>INV-1455</t>
  </si>
  <si>
    <t>INV-1456</t>
  </si>
  <si>
    <t>INV-1457</t>
  </si>
  <si>
    <t>INV-1458</t>
  </si>
  <si>
    <t>INV-1459</t>
  </si>
  <si>
    <t>INV-1460</t>
  </si>
  <si>
    <t>INV-1461</t>
  </si>
  <si>
    <t>INV-1462</t>
  </si>
  <si>
    <t>INV-1463</t>
  </si>
  <si>
    <t>INV-1464</t>
  </si>
  <si>
    <t>INV-1465</t>
  </si>
  <si>
    <t>INV-1466</t>
  </si>
  <si>
    <t>INV-1467</t>
  </si>
  <si>
    <t>INV-1468</t>
  </si>
  <si>
    <t>INV-1469</t>
  </si>
  <si>
    <t>INV-1470</t>
  </si>
  <si>
    <t>INV-1471</t>
  </si>
  <si>
    <t>INV-1472</t>
  </si>
  <si>
    <t>INV-1473</t>
  </si>
  <si>
    <t>INV-1474</t>
  </si>
  <si>
    <t>INV-1475</t>
  </si>
  <si>
    <t>INV-1476</t>
  </si>
  <si>
    <t>INV-1477</t>
  </si>
  <si>
    <t>INV-1478</t>
  </si>
  <si>
    <t>INV-1479</t>
  </si>
  <si>
    <t>INV-1480</t>
  </si>
  <si>
    <t>INV-1481</t>
  </si>
  <si>
    <t>INV-1482</t>
  </si>
  <si>
    <t>INV-1483</t>
  </si>
  <si>
    <t>INV-1484</t>
  </si>
  <si>
    <t>INV-1485</t>
  </si>
  <si>
    <t>INV-1486</t>
  </si>
  <si>
    <t>INV-1487</t>
  </si>
  <si>
    <t>INV-1488</t>
  </si>
  <si>
    <t>INV-1489</t>
  </si>
  <si>
    <t>INV-1490</t>
  </si>
  <si>
    <t>INV-1491</t>
  </si>
  <si>
    <t>INV-1492</t>
  </si>
  <si>
    <t>INV-1493</t>
  </si>
  <si>
    <t>INV-1494</t>
  </si>
  <si>
    <t>INV-1495</t>
  </si>
  <si>
    <t>INV-1496</t>
  </si>
  <si>
    <t>INV-1497</t>
  </si>
  <si>
    <t>INV-1498</t>
  </si>
  <si>
    <t>INV-1499</t>
  </si>
  <si>
    <t>INV-1500</t>
  </si>
  <si>
    <t>INV-1501</t>
  </si>
  <si>
    <t>INV-1502</t>
  </si>
  <si>
    <t>INV-1503</t>
  </si>
  <si>
    <t>INV-1504</t>
  </si>
  <si>
    <t>INV-1505</t>
  </si>
  <si>
    <t>INV-1506</t>
  </si>
  <si>
    <t>INV-1507</t>
  </si>
  <si>
    <t>INV-1508</t>
  </si>
  <si>
    <t>INV-1509</t>
  </si>
  <si>
    <t>INV-1510</t>
  </si>
  <si>
    <t>INV-1511</t>
  </si>
  <si>
    <t>INV-1512</t>
  </si>
  <si>
    <t>INV-1513</t>
  </si>
  <si>
    <t>INV-1514</t>
  </si>
  <si>
    <t>INV-1515</t>
  </si>
  <si>
    <t>INV-1516</t>
  </si>
  <si>
    <t>INV-1517</t>
  </si>
  <si>
    <t>INV-1518</t>
  </si>
  <si>
    <t>INV-1519</t>
  </si>
  <si>
    <t>INV-1520</t>
  </si>
  <si>
    <t>INV-1521</t>
  </si>
  <si>
    <t>INV-1522</t>
  </si>
  <si>
    <t>INV-1523</t>
  </si>
  <si>
    <t>INV-1524</t>
  </si>
  <si>
    <t>INV-1525</t>
  </si>
  <si>
    <t>INV-1526</t>
  </si>
  <si>
    <t>INV-1527</t>
  </si>
  <si>
    <t>INV-1528</t>
  </si>
  <si>
    <t>INV-1529</t>
  </si>
  <si>
    <t>INV-1530</t>
  </si>
  <si>
    <t>INV-1531</t>
  </si>
  <si>
    <t>INV-1532</t>
  </si>
  <si>
    <t>INV-1533</t>
  </si>
  <si>
    <t>INV-1534</t>
  </si>
  <si>
    <t>INV-1535</t>
  </si>
  <si>
    <t>INV-1536</t>
  </si>
  <si>
    <t>INV-1537</t>
  </si>
  <si>
    <t>INV-1538</t>
  </si>
  <si>
    <t>INV-1539</t>
  </si>
  <si>
    <t>INV-1540</t>
  </si>
  <si>
    <t>INV-1541</t>
  </si>
  <si>
    <t>INV-1542</t>
  </si>
  <si>
    <t>INV-1543</t>
  </si>
  <si>
    <t>INV-1544</t>
  </si>
  <si>
    <t>INV-1545</t>
  </si>
  <si>
    <t>INV-1546</t>
  </si>
  <si>
    <t>INV-1547</t>
  </si>
  <si>
    <t>INV-1548</t>
  </si>
  <si>
    <t>INV-1549</t>
  </si>
  <si>
    <t>INV-1550</t>
  </si>
  <si>
    <t>INV-1551</t>
  </si>
  <si>
    <t>INV-1552</t>
  </si>
  <si>
    <t>INV-1553</t>
  </si>
  <si>
    <t>INV-1554</t>
  </si>
  <si>
    <t>INV-1555</t>
  </si>
  <si>
    <t>INV-1556</t>
  </si>
  <si>
    <t>INV-1557</t>
  </si>
  <si>
    <t>INV-1558</t>
  </si>
  <si>
    <t>INV-1559</t>
  </si>
  <si>
    <t>INV-1560</t>
  </si>
  <si>
    <t>INV-1561</t>
  </si>
  <si>
    <t>INV-1562</t>
  </si>
  <si>
    <t>INV-1563</t>
  </si>
  <si>
    <t>INV-1564</t>
  </si>
  <si>
    <t>INV-1565</t>
  </si>
  <si>
    <t>INV-1566</t>
  </si>
  <si>
    <t>INV-1567</t>
  </si>
  <si>
    <t>INV-1568</t>
  </si>
  <si>
    <t>INV-1569</t>
  </si>
  <si>
    <t>INV-1570</t>
  </si>
  <si>
    <t>INV-1571</t>
  </si>
  <si>
    <t>INV-1572</t>
  </si>
  <si>
    <t>INV-1573</t>
  </si>
  <si>
    <t>INV-1574</t>
  </si>
  <si>
    <t>INV-1575</t>
  </si>
  <si>
    <t>INV-1576</t>
  </si>
  <si>
    <t>INV-1577</t>
  </si>
  <si>
    <t>INV-1578</t>
  </si>
  <si>
    <t>INV-1579</t>
  </si>
  <si>
    <t>INV-1580</t>
  </si>
  <si>
    <t>INV-1581</t>
  </si>
  <si>
    <t>INV-1582</t>
  </si>
  <si>
    <t>INV-1583</t>
  </si>
  <si>
    <t>INV-1584</t>
  </si>
  <si>
    <t>INV-1585</t>
  </si>
  <si>
    <t>INV-1586</t>
  </si>
  <si>
    <t>INV-1587</t>
  </si>
  <si>
    <t>INV-1588</t>
  </si>
  <si>
    <t>INV-1589</t>
  </si>
  <si>
    <t>INV-1590</t>
  </si>
  <si>
    <t>INV-1591</t>
  </si>
  <si>
    <t>INV-1592</t>
  </si>
  <si>
    <t>INV-1593</t>
  </si>
  <si>
    <t>INV-1594</t>
  </si>
  <si>
    <t>INV-1595</t>
  </si>
  <si>
    <t>INV-1596</t>
  </si>
  <si>
    <t>INV-1597</t>
  </si>
  <si>
    <t>INV-1598</t>
  </si>
  <si>
    <t>INV-1599</t>
  </si>
  <si>
    <t>INV-1600</t>
  </si>
  <si>
    <t>INV-1601</t>
  </si>
  <si>
    <t>INV-1602</t>
  </si>
  <si>
    <t>INV-1603</t>
  </si>
  <si>
    <t>INV-1604</t>
  </si>
  <si>
    <t>INV-1605</t>
  </si>
  <si>
    <t>INV-1606</t>
  </si>
  <si>
    <t>INV-1607</t>
  </si>
  <si>
    <t>INV-1608</t>
  </si>
  <si>
    <t>INV-1609</t>
  </si>
  <si>
    <t>INV-1610</t>
  </si>
  <si>
    <t>INV-1611</t>
  </si>
  <si>
    <t>INV-1612</t>
  </si>
  <si>
    <t>INV-1613</t>
  </si>
  <si>
    <t>INV-1614</t>
  </si>
  <si>
    <t>INV-1615</t>
  </si>
  <si>
    <t>INV-1616</t>
  </si>
  <si>
    <t>INV-1617</t>
  </si>
  <si>
    <t>INV-1618</t>
  </si>
  <si>
    <t>INV-1619</t>
  </si>
  <si>
    <t>INV-1620</t>
  </si>
  <si>
    <t>INV-1621</t>
  </si>
  <si>
    <t>INV-1622</t>
  </si>
  <si>
    <t>INV-1623</t>
  </si>
  <si>
    <t>INV-1624</t>
  </si>
  <si>
    <t>INV-1625</t>
  </si>
  <si>
    <t>INV-1626</t>
  </si>
  <si>
    <t>INV-1627</t>
  </si>
  <si>
    <t>INV-1628</t>
  </si>
  <si>
    <t>INV-1629</t>
  </si>
  <si>
    <t>INV-1630</t>
  </si>
  <si>
    <t>INV-1631</t>
  </si>
  <si>
    <t>INV-1632</t>
  </si>
  <si>
    <t>INV-1633</t>
  </si>
  <si>
    <t>INV-1634</t>
  </si>
  <si>
    <t>INV-1635</t>
  </si>
  <si>
    <t>INV-1636</t>
  </si>
  <si>
    <t>INV-1637</t>
  </si>
  <si>
    <t>INV-1638</t>
  </si>
  <si>
    <t>INV-1639</t>
  </si>
  <si>
    <t>INV-1640</t>
  </si>
  <si>
    <t>INV-1641</t>
  </si>
  <si>
    <t>INV-1642</t>
  </si>
  <si>
    <t>INV-1643</t>
  </si>
  <si>
    <t>INV-1644</t>
  </si>
  <si>
    <t>INV-1645</t>
  </si>
  <si>
    <t>INV-1646</t>
  </si>
  <si>
    <t>INV-1647</t>
  </si>
  <si>
    <t>INV-1648</t>
  </si>
  <si>
    <t>INV-1649</t>
  </si>
  <si>
    <t>INV-1650</t>
  </si>
  <si>
    <t>INV-1651</t>
  </si>
  <si>
    <t>INV-1652</t>
  </si>
  <si>
    <t>INV-1653</t>
  </si>
  <si>
    <t>INV-1654</t>
  </si>
  <si>
    <t>INV-1655</t>
  </si>
  <si>
    <t>INV-1656</t>
  </si>
  <si>
    <t>INV-1657</t>
  </si>
  <si>
    <t>INV-1658</t>
  </si>
  <si>
    <t>INV-1659</t>
  </si>
  <si>
    <t>INV-1660</t>
  </si>
  <si>
    <t>INV-1661</t>
  </si>
  <si>
    <t>INV-1662</t>
  </si>
  <si>
    <t>INV-1663</t>
  </si>
  <si>
    <t>INV-1664</t>
  </si>
  <si>
    <t>INV-1665</t>
  </si>
  <si>
    <t>INV-1666</t>
  </si>
  <si>
    <t>INV-1667</t>
  </si>
  <si>
    <t>INV-1668</t>
  </si>
  <si>
    <t>INV-1669</t>
  </si>
  <si>
    <t>INV-1670</t>
  </si>
  <si>
    <t>INV-1671</t>
  </si>
  <si>
    <t>INV-1672</t>
  </si>
  <si>
    <t>INV-1673</t>
  </si>
  <si>
    <t>INV-1674</t>
  </si>
  <si>
    <t>INV-1675</t>
  </si>
  <si>
    <t>INV-1676</t>
  </si>
  <si>
    <t>INV-1677</t>
  </si>
  <si>
    <t>INV-1678</t>
  </si>
  <si>
    <t>INV-1679</t>
  </si>
  <si>
    <t>INV-1680</t>
  </si>
  <si>
    <t>INV-1681</t>
  </si>
  <si>
    <t>INV-1682</t>
  </si>
  <si>
    <t>INV-1683</t>
  </si>
  <si>
    <t>INV-1684</t>
  </si>
  <si>
    <t>INV-1685</t>
  </si>
  <si>
    <t>INV-1686</t>
  </si>
  <si>
    <t>INV-1687</t>
  </si>
  <si>
    <t>INV-1688</t>
  </si>
  <si>
    <t>INV-1689</t>
  </si>
  <si>
    <t>INV-1690</t>
  </si>
  <si>
    <t>INV-1691</t>
  </si>
  <si>
    <t>INV-1692</t>
  </si>
  <si>
    <t>INV-1693</t>
  </si>
  <si>
    <t>INV-1694</t>
  </si>
  <si>
    <t>INV-1695</t>
  </si>
  <si>
    <t>INV-1696</t>
  </si>
  <si>
    <t>INV-1697</t>
  </si>
  <si>
    <t>INV-1698</t>
  </si>
  <si>
    <t>INV-1699</t>
  </si>
  <si>
    <t>INV-1700</t>
  </si>
  <si>
    <t>INV-1701</t>
  </si>
  <si>
    <t>INV-1702</t>
  </si>
  <si>
    <t>INV-1703</t>
  </si>
  <si>
    <t>INV-1704</t>
  </si>
  <si>
    <t>INV-1705</t>
  </si>
  <si>
    <t>INV-1706</t>
  </si>
  <si>
    <t>INV-1707</t>
  </si>
  <si>
    <t>INV-1708</t>
  </si>
  <si>
    <t>INV-1709</t>
  </si>
  <si>
    <t>INV-1710</t>
  </si>
  <si>
    <t>INV-1711</t>
  </si>
  <si>
    <t>INV-1712</t>
  </si>
  <si>
    <t>INV-1713</t>
  </si>
  <si>
    <t>INV-1714</t>
  </si>
  <si>
    <t>INV-1715</t>
  </si>
  <si>
    <t>INV-1716</t>
  </si>
  <si>
    <t>INV-1717</t>
  </si>
  <si>
    <t>INV-1718</t>
  </si>
  <si>
    <t>INV-1719</t>
  </si>
  <si>
    <t>INV-1720</t>
  </si>
  <si>
    <t>INV-1721</t>
  </si>
  <si>
    <t>INV-1722</t>
  </si>
  <si>
    <t>INV-1723</t>
  </si>
  <si>
    <t>INV-1724</t>
  </si>
  <si>
    <t>INV-1725</t>
  </si>
  <si>
    <t>INV-1726</t>
  </si>
  <si>
    <t>INV-1727</t>
  </si>
  <si>
    <t>INV-1728</t>
  </si>
  <si>
    <t>INV-1729</t>
  </si>
  <si>
    <t>INV-1730</t>
  </si>
  <si>
    <t>INV-1731</t>
  </si>
  <si>
    <t>INV-1732</t>
  </si>
  <si>
    <t>INV-1733</t>
  </si>
  <si>
    <t>INV-1734</t>
  </si>
  <si>
    <t>INV-1735</t>
  </si>
  <si>
    <t>INV-1736</t>
  </si>
  <si>
    <t>INV-1737</t>
  </si>
  <si>
    <t>INV-1738</t>
  </si>
  <si>
    <t>INV-1739</t>
  </si>
  <si>
    <t>INV-1740</t>
  </si>
  <si>
    <t>INV-1741</t>
  </si>
  <si>
    <t>INV-1742</t>
  </si>
  <si>
    <t>INV-1743</t>
  </si>
  <si>
    <t>INV-1744</t>
  </si>
  <si>
    <t>INV-1745</t>
  </si>
  <si>
    <t>INV-1746</t>
  </si>
  <si>
    <t>INV-1747</t>
  </si>
  <si>
    <t>INV-1748</t>
  </si>
  <si>
    <t>INV-1749</t>
  </si>
  <si>
    <t>INV-1750</t>
  </si>
  <si>
    <t>INV-1751</t>
  </si>
  <si>
    <t>INV-1752</t>
  </si>
  <si>
    <t>INV-1753</t>
  </si>
  <si>
    <t>INV-1754</t>
  </si>
  <si>
    <t>INV-1755</t>
  </si>
  <si>
    <t>INV-1756</t>
  </si>
  <si>
    <t>INV-1757</t>
  </si>
  <si>
    <t>INV-1758</t>
  </si>
  <si>
    <t>INV-1759</t>
  </si>
  <si>
    <t>INV-1760</t>
  </si>
  <si>
    <t>INV-1761</t>
  </si>
  <si>
    <t>INV-1762</t>
  </si>
  <si>
    <t>INV-1763</t>
  </si>
  <si>
    <t>INV-1764</t>
  </si>
  <si>
    <t>INV-1765</t>
  </si>
  <si>
    <t>INV-1766</t>
  </si>
  <si>
    <t>INV-1767</t>
  </si>
  <si>
    <t>INV-1768</t>
  </si>
  <si>
    <t>INV-1769</t>
  </si>
  <si>
    <t>INV-1770</t>
  </si>
  <si>
    <t>INV-1771</t>
  </si>
  <si>
    <t>INV-1772</t>
  </si>
  <si>
    <t>INV-1773</t>
  </si>
  <si>
    <t>INV-1774</t>
  </si>
  <si>
    <t>INV-1775</t>
  </si>
  <si>
    <t>INV-1776</t>
  </si>
  <si>
    <t>INV-1777</t>
  </si>
  <si>
    <t>INV-1778</t>
  </si>
  <si>
    <t>INV-1779</t>
  </si>
  <si>
    <t>INV-1780</t>
  </si>
  <si>
    <t>INV-1781</t>
  </si>
  <si>
    <t>INV-1782</t>
  </si>
  <si>
    <t>INV-1783</t>
  </si>
  <si>
    <t>INV-1784</t>
  </si>
  <si>
    <t>INV-1785</t>
  </si>
  <si>
    <t>INV-1786</t>
  </si>
  <si>
    <t>INV-1787</t>
  </si>
  <si>
    <t>INV-1788</t>
  </si>
  <si>
    <t>INV-1789</t>
  </si>
  <si>
    <t>INV-1790</t>
  </si>
  <si>
    <t>INV-1791</t>
  </si>
  <si>
    <t>INV-1792</t>
  </si>
  <si>
    <t>INV-1793</t>
  </si>
  <si>
    <t>INV-1794</t>
  </si>
  <si>
    <t>INV-1795</t>
  </si>
  <si>
    <t>INV-1796</t>
  </si>
  <si>
    <t>INV-1797</t>
  </si>
  <si>
    <t>INV-1798</t>
  </si>
  <si>
    <t>INV-1799</t>
  </si>
  <si>
    <t>INV-1800</t>
  </si>
  <si>
    <t>INV-1801</t>
  </si>
  <si>
    <t>INV-1802</t>
  </si>
  <si>
    <t>INV-1803</t>
  </si>
  <si>
    <t>INV-1804</t>
  </si>
  <si>
    <t>INV-1805</t>
  </si>
  <si>
    <t>INV-1806</t>
  </si>
  <si>
    <t>INV-1807</t>
  </si>
  <si>
    <t>INV-1808</t>
  </si>
  <si>
    <t>INV-1809</t>
  </si>
  <si>
    <t>INV-1810</t>
  </si>
  <si>
    <t>INV-1811</t>
  </si>
  <si>
    <t>INV-1812</t>
  </si>
  <si>
    <t>INV-1813</t>
  </si>
  <si>
    <t>INV-1814</t>
  </si>
  <si>
    <t>INV-1815</t>
  </si>
  <si>
    <t>INV-1816</t>
  </si>
  <si>
    <t>INV-1817</t>
  </si>
  <si>
    <t>INV-1818</t>
  </si>
  <si>
    <t>INV-1819</t>
  </si>
  <si>
    <t>INV-1820</t>
  </si>
  <si>
    <t>INV-1821</t>
  </si>
  <si>
    <t>INV-1822</t>
  </si>
  <si>
    <t>INV-1823</t>
  </si>
  <si>
    <t>INV-1824</t>
  </si>
  <si>
    <t>INV-1825</t>
  </si>
  <si>
    <t>INV-1826</t>
  </si>
  <si>
    <t>INV-1827</t>
  </si>
  <si>
    <t>INV-1828</t>
  </si>
  <si>
    <t>INV-1829</t>
  </si>
  <si>
    <t>INV-1830</t>
  </si>
  <si>
    <t>INV-1831</t>
  </si>
  <si>
    <t>INV-1832</t>
  </si>
  <si>
    <t>INV-1833</t>
  </si>
  <si>
    <t>INV-1834</t>
  </si>
  <si>
    <t>INV-1835</t>
  </si>
  <si>
    <t>INV-1836</t>
  </si>
  <si>
    <t>INV-1837</t>
  </si>
  <si>
    <t>INV-1838</t>
  </si>
  <si>
    <t>INV-1839</t>
  </si>
  <si>
    <t>INV-1840</t>
  </si>
  <si>
    <t>INV-1841</t>
  </si>
  <si>
    <t>INV-1842</t>
  </si>
  <si>
    <t>INV-1843</t>
  </si>
  <si>
    <t>INV-1844</t>
  </si>
  <si>
    <t>INV-1845</t>
  </si>
  <si>
    <t>INV-1846</t>
  </si>
  <si>
    <t>INV-1847</t>
  </si>
  <si>
    <t>INV-1848</t>
  </si>
  <si>
    <t>INV-1849</t>
  </si>
  <si>
    <t>INV-1850</t>
  </si>
  <si>
    <t>INV-1851</t>
  </si>
  <si>
    <t>INV-1852</t>
  </si>
  <si>
    <t>INV-1853</t>
  </si>
  <si>
    <t>INV-1854</t>
  </si>
  <si>
    <t>INV-1855</t>
  </si>
  <si>
    <t>INV-1856</t>
  </si>
  <si>
    <t>INV-1857</t>
  </si>
  <si>
    <t>INV-1858</t>
  </si>
  <si>
    <t>INV-1859</t>
  </si>
  <si>
    <t>INV-1860</t>
  </si>
  <si>
    <t>INV-1861</t>
  </si>
  <si>
    <t>INV-1862</t>
  </si>
  <si>
    <t>INV-1863</t>
  </si>
  <si>
    <t>INV-1864</t>
  </si>
  <si>
    <t>INV-1865</t>
  </si>
  <si>
    <t>INV-1866</t>
  </si>
  <si>
    <t>INV-1867</t>
  </si>
  <si>
    <t>INV-1868</t>
  </si>
  <si>
    <t>INV-1869</t>
  </si>
  <si>
    <t>INV-1870</t>
  </si>
  <si>
    <t>INV-1871</t>
  </si>
  <si>
    <t>INV-1872</t>
  </si>
  <si>
    <t>INV-1873</t>
  </si>
  <si>
    <t>INV-1874</t>
  </si>
  <si>
    <t>INV-1875</t>
  </si>
  <si>
    <t>INV-1876</t>
  </si>
  <si>
    <t>INV-1877</t>
  </si>
  <si>
    <t>INV-1878</t>
  </si>
  <si>
    <t>INV-1879</t>
  </si>
  <si>
    <t>INV-1880</t>
  </si>
  <si>
    <t>INV-1881</t>
  </si>
  <si>
    <t>INV-1882</t>
  </si>
  <si>
    <t>INV-1883</t>
  </si>
  <si>
    <t>INV-1884</t>
  </si>
  <si>
    <t>INV-1885</t>
  </si>
  <si>
    <t>INV-1886</t>
  </si>
  <si>
    <t>INV-1887</t>
  </si>
  <si>
    <t>INV-1888</t>
  </si>
  <si>
    <t>INV-1889</t>
  </si>
  <si>
    <t>INV-1890</t>
  </si>
  <si>
    <t>INV-1891</t>
  </si>
  <si>
    <t>INV-1892</t>
  </si>
  <si>
    <t>INV-1893</t>
  </si>
  <si>
    <t>INV-1894</t>
  </si>
  <si>
    <t>INV-1895</t>
  </si>
  <si>
    <t>INV-1896</t>
  </si>
  <si>
    <t>INV-1897</t>
  </si>
  <si>
    <t>INV-1898</t>
  </si>
  <si>
    <t>INV-1899</t>
  </si>
  <si>
    <t>INV-1900</t>
  </si>
  <si>
    <t>INV-1901</t>
  </si>
  <si>
    <t>INV-1902</t>
  </si>
  <si>
    <t>INV-1903</t>
  </si>
  <si>
    <t>INV-1904</t>
  </si>
  <si>
    <t>INV-1905</t>
  </si>
  <si>
    <t>INV-1906</t>
  </si>
  <si>
    <t>INV-1907</t>
  </si>
  <si>
    <t>INV-1908</t>
  </si>
  <si>
    <t>INV-1909</t>
  </si>
  <si>
    <t>INV-1910</t>
  </si>
  <si>
    <t>INV-1911</t>
  </si>
  <si>
    <t>INV-1912</t>
  </si>
  <si>
    <t>INV-1913</t>
  </si>
  <si>
    <t>INV-1914</t>
  </si>
  <si>
    <t>INV-1915</t>
  </si>
  <si>
    <t>INV-1916</t>
  </si>
  <si>
    <t>INV-1917</t>
  </si>
  <si>
    <t>INV-1918</t>
  </si>
  <si>
    <t>INV-1919</t>
  </si>
  <si>
    <t>INV-1920</t>
  </si>
  <si>
    <t>INV-1921</t>
  </si>
  <si>
    <t>INV-1922</t>
  </si>
  <si>
    <t>INV-1923</t>
  </si>
  <si>
    <t>INV-1924</t>
  </si>
  <si>
    <t>INV-1925</t>
  </si>
  <si>
    <t>INV-1926</t>
  </si>
  <si>
    <t>INV-1927</t>
  </si>
  <si>
    <t>INV-1928</t>
  </si>
  <si>
    <t>INV-1929</t>
  </si>
  <si>
    <t>INV-1930</t>
  </si>
  <si>
    <t>INV-1931</t>
  </si>
  <si>
    <t>INV-1932</t>
  </si>
  <si>
    <t>INV-1933</t>
  </si>
  <si>
    <t>INV-1934</t>
  </si>
  <si>
    <t>INV-1935</t>
  </si>
  <si>
    <t>INV-1936</t>
  </si>
  <si>
    <t>INV-1937</t>
  </si>
  <si>
    <t>INV-1938</t>
  </si>
  <si>
    <t>INV-1939</t>
  </si>
  <si>
    <t>INV-1940</t>
  </si>
  <si>
    <t>INV-1941</t>
  </si>
  <si>
    <t>INV-1942</t>
  </si>
  <si>
    <t>INV-1943</t>
  </si>
  <si>
    <t>INV-1944</t>
  </si>
  <si>
    <t>INV-1945</t>
  </si>
  <si>
    <t>INV-1946</t>
  </si>
  <si>
    <t>INV-1947</t>
  </si>
  <si>
    <t>INV-1948</t>
  </si>
  <si>
    <t>INV-1949</t>
  </si>
  <si>
    <t>INV-1950</t>
  </si>
  <si>
    <t>INV-1951</t>
  </si>
  <si>
    <t>INV-1952</t>
  </si>
  <si>
    <t>INV-1953</t>
  </si>
  <si>
    <t>INV-1954</t>
  </si>
  <si>
    <t>INV-1955</t>
  </si>
  <si>
    <t>INV-1956</t>
  </si>
  <si>
    <t>INV-1957</t>
  </si>
  <si>
    <t>INV-1958</t>
  </si>
  <si>
    <t>INV-1959</t>
  </si>
  <si>
    <t>INV-1960</t>
  </si>
  <si>
    <t>INV-1961</t>
  </si>
  <si>
    <t>INV-1962</t>
  </si>
  <si>
    <t>INV-1963</t>
  </si>
  <si>
    <t>INV-1964</t>
  </si>
  <si>
    <t>INV-1965</t>
  </si>
  <si>
    <t>INV-1966</t>
  </si>
  <si>
    <t>INV-1967</t>
  </si>
  <si>
    <t>INV-1968</t>
  </si>
  <si>
    <t>INV-1969</t>
  </si>
  <si>
    <t>INV-1970</t>
  </si>
  <si>
    <t>INV-1971</t>
  </si>
  <si>
    <t>INV-1972</t>
  </si>
  <si>
    <t>INV-1973</t>
  </si>
  <si>
    <t>INV-1974</t>
  </si>
  <si>
    <t>INV-1975</t>
  </si>
  <si>
    <t>INV-1976</t>
  </si>
  <si>
    <t>INV-1977</t>
  </si>
  <si>
    <t>INV-1978</t>
  </si>
  <si>
    <t>INV-1979</t>
  </si>
  <si>
    <t>INV-1980</t>
  </si>
  <si>
    <t>INV-1981</t>
  </si>
  <si>
    <t>INV-1982</t>
  </si>
  <si>
    <t>INV-1983</t>
  </si>
  <si>
    <t>INV-1984</t>
  </si>
  <si>
    <t>INV-1985</t>
  </si>
  <si>
    <t>INV-1986</t>
  </si>
  <si>
    <t>INV-1987</t>
  </si>
  <si>
    <t>INV-1988</t>
  </si>
  <si>
    <t>INV-1989</t>
  </si>
  <si>
    <t>INV-1990</t>
  </si>
  <si>
    <t>INV-1991</t>
  </si>
  <si>
    <t>INV-1992</t>
  </si>
  <si>
    <t>INV-1993</t>
  </si>
  <si>
    <t>INV-1994</t>
  </si>
  <si>
    <t>INV-1995</t>
  </si>
  <si>
    <t>INV-1996</t>
  </si>
  <si>
    <t>INV-1997</t>
  </si>
  <si>
    <t>INV-1998</t>
  </si>
  <si>
    <t>INV-1999</t>
  </si>
  <si>
    <t>INV-2000</t>
  </si>
  <si>
    <t>Row Labels</t>
  </si>
  <si>
    <t>Grand Total</t>
  </si>
  <si>
    <t>Sum of Total_Amount</t>
  </si>
  <si>
    <t>Sum of Quantity</t>
  </si>
  <si>
    <t xml:space="preserve"> </t>
  </si>
  <si>
    <t>Sales Performance Dashboard –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</si>
</sst>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mm:ss"/>
    <numFmt numFmtId="165" formatCode="#,##0.0,,&quot;M&quot;"/>
    <numFmt numFmtId="166" formatCode="#,##0.0,&quot;K&quot;"/>
  </numFmts>
  <fonts count="3" x14ac:knownFonts="1">
    <font>
      <sz val="11"/>
      <color theme="1"/>
      <name val="Calibri"/>
      <family val="2"/>
      <scheme val="minor"/>
    </font>
    <font>
      <b/>
      <sz val="28"/>
      <color theme="1"/>
      <name val="Arial Black"/>
      <family val="2"/>
    </font>
    <font>
      <b/>
      <sz val="20"/>
      <color theme="1"/>
      <name val="Arial"/>
      <family val="2"/>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2" borderId="0" xfId="0" applyFont="1" applyFill="1" applyAlignment="1">
      <alignment horizontal="center"/>
    </xf>
    <xf numFmtId="0" fontId="0" fillId="0" borderId="0" xfId="0" applyAlignment="1">
      <alignment horizontal="center"/>
    </xf>
    <xf numFmtId="165" fontId="2" fillId="0" borderId="1" xfId="0" applyNumberFormat="1" applyFont="1" applyBorder="1" applyAlignment="1">
      <alignment horizontal="center"/>
    </xf>
    <xf numFmtId="166" fontId="2" fillId="0" borderId="1" xfId="0" applyNumberFormat="1" applyFont="1" applyBorder="1" applyAlignment="1">
      <alignment horizontal="center"/>
    </xf>
  </cellXfs>
  <cellStyles count="1">
    <cellStyle name="Normal" xfId="0" builtinId="0"/>
  </cellStyles>
  <dxfs count="1">
    <dxf>
      <numFmt numFmtId="164" formatCode="yyyy\-mm\-dd\ 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[MS_Excel_Sales_Performance_Dashboard_Project.xlsx]Pivot_Region_Sales!Pivot_Region_Sales</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Pivot_Region_Sales!$B$3</c:f>
              <c:strCache>
                <c:ptCount val="1"/>
                <c:pt idx="0">
                  <c:v>Total</c:v>
                </c:pt>
              </c:strCache>
            </c:strRef>
          </c:tx>
          <c:spPr>
            <a:solidFill>
              <a:schemeClr val="accent1"/>
            </a:solidFill>
            <a:ln>
              <a:noFill/>
            </a:ln>
            <a:effectLst/>
          </c:spPr>
          <c:invertIfNegative val="0"/>
          <c:cat>
            <c:strRef>
              <c:f>Pivot_Region_Sales!$A$4:$A$8</c:f>
              <c:strCache>
                <c:ptCount val="4"/>
                <c:pt idx="0">
                  <c:v>North</c:v>
                </c:pt>
                <c:pt idx="1">
                  <c:v>East</c:v>
                </c:pt>
                <c:pt idx="2">
                  <c:v>West</c:v>
                </c:pt>
                <c:pt idx="3">
                  <c:v>South</c:v>
                </c:pt>
              </c:strCache>
            </c:strRef>
          </c:cat>
          <c:val>
            <c:numRef>
              <c:f>Pivot_Region_Sales!$B$4:$B$8</c:f>
              <c:numCache>
                <c:formatCode>General</c:formatCode>
                <c:ptCount val="4"/>
                <c:pt idx="0">
                  <c:v>78783879</c:v>
                </c:pt>
                <c:pt idx="1">
                  <c:v>70086219</c:v>
                </c:pt>
                <c:pt idx="2">
                  <c:v>66908259</c:v>
                </c:pt>
                <c:pt idx="3">
                  <c:v>64936936</c:v>
                </c:pt>
              </c:numCache>
            </c:numRef>
          </c:val>
          <c:extLst>
            <c:ext xmlns:c16="http://schemas.microsoft.com/office/drawing/2014/chart" uri="{C3380CC4-5D6E-409C-BE32-E72D297353CC}">
              <c16:uniqueId val="{00000000-1997-4E02-9FBA-91A36B744836}"/>
            </c:ext>
          </c:extLst>
        </c:ser>
        <c:dLbls>
          <c:showLegendKey val="0"/>
          <c:showVal val="0"/>
          <c:showCatName val="0"/>
          <c:showSerName val="0"/>
          <c:showPercent val="0"/>
          <c:showBubbleSize val="0"/>
        </c:dLbls>
        <c:gapWidth val="219"/>
        <c:overlap val="-27"/>
        <c:axId val="553422776"/>
        <c:axId val="553418456"/>
      </c:barChart>
      <c:catAx>
        <c:axId val="553422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418456"/>
        <c:crosses val="autoZero"/>
        <c:auto val="1"/>
        <c:lblAlgn val="ctr"/>
        <c:lblOffset val="100"/>
        <c:noMultiLvlLbl val="0"/>
      </c:catAx>
      <c:valAx>
        <c:axId val="5534184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4227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[MS_Excel_Sales_Performance_Dashboard_Project.xlsx]Pivot_Category_Analysis!Pivot_Region_Sales</c:name>
    <c:fmtId val="5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Pivot_Category_Analysis!$B$3</c:f>
              <c:strCache>
                <c:ptCount val="1"/>
                <c:pt idx="0">
                  <c:v>Sum of Quantity</c:v>
                </c:pt>
              </c:strCache>
            </c:strRef>
          </c:tx>
          <c:spPr>
            <a:solidFill>
              <a:schemeClr val="accent1"/>
            </a:solidFill>
            <a:ln>
              <a:noFill/>
            </a:ln>
            <a:effectLst/>
          </c:spPr>
          <c:invertIfNegative val="0"/>
          <c:cat>
            <c:strRef>
              <c:f>Pivot_Category_Analysis!$A$4:$A$8</c:f>
              <c:strCache>
                <c:ptCount val="4"/>
                <c:pt idx="0">
                  <c:v>Clothing</c:v>
                </c:pt>
                <c:pt idx="1">
                  <c:v>Stationery</c:v>
                </c:pt>
                <c:pt idx="2">
                  <c:v>Electronics</c:v>
                </c:pt>
                <c:pt idx="3">
                  <c:v>Grocery</c:v>
                </c:pt>
              </c:strCache>
            </c:strRef>
          </c:cat>
          <c:val>
            <c:numRef>
              <c:f>Pivot_Category_Analysis!$B$4:$B$8</c:f>
              <c:numCache>
                <c:formatCode>General</c:formatCode>
                <c:ptCount val="4"/>
                <c:pt idx="0">
                  <c:v>2842</c:v>
                </c:pt>
                <c:pt idx="1">
                  <c:v>2760</c:v>
                </c:pt>
                <c:pt idx="2">
                  <c:v>2672</c:v>
                </c:pt>
                <c:pt idx="3">
                  <c:v>2491</c:v>
                </c:pt>
              </c:numCache>
            </c:numRef>
          </c:val>
          <c:extLst>
            <c:ext xmlns:c16="http://schemas.microsoft.com/office/drawing/2014/chart" uri="{C3380CC4-5D6E-409C-BE32-E72D297353CC}">
              <c16:uniqueId val="{00000000-28B7-4AB6-ABD7-8413943FE304}"/>
            </c:ext>
          </c:extLst>
        </c:ser>
        <c:ser>
          <c:idx val="1"/>
          <c:order val="1"/>
          <c:tx>
            <c:strRef>
              <c:f>Pivot_Category_Analysis!$C$3</c:f>
              <c:strCache>
                <c:ptCount val="1"/>
                <c:pt idx="0">
                  <c:v>Sum of Total_Amount</c:v>
                </c:pt>
              </c:strCache>
            </c:strRef>
          </c:tx>
          <c:spPr>
            <a:solidFill>
              <a:schemeClr val="accent2"/>
            </a:solidFill>
            <a:ln>
              <a:noFill/>
            </a:ln>
            <a:effectLst/>
          </c:spPr>
          <c:invertIfNegative val="0"/>
          <c:cat>
            <c:strRef>
              <c:f>Pivot_Category_Analysis!$A$4:$A$8</c:f>
              <c:strCache>
                <c:ptCount val="4"/>
                <c:pt idx="0">
                  <c:v>Clothing</c:v>
                </c:pt>
                <c:pt idx="1">
                  <c:v>Stationery</c:v>
                </c:pt>
                <c:pt idx="2">
                  <c:v>Electronics</c:v>
                </c:pt>
                <c:pt idx="3">
                  <c:v>Grocery</c:v>
                </c:pt>
              </c:strCache>
            </c:strRef>
          </c:cat>
          <c:val>
            <c:numRef>
              <c:f>Pivot_Category_Analysis!$C$4:$C$8</c:f>
              <c:numCache>
                <c:formatCode>General</c:formatCode>
                <c:ptCount val="4"/>
                <c:pt idx="0">
                  <c:v>71012894</c:v>
                </c:pt>
                <c:pt idx="1">
                  <c:v>74331511</c:v>
                </c:pt>
                <c:pt idx="2">
                  <c:v>70922600</c:v>
                </c:pt>
                <c:pt idx="3">
                  <c:v>64448288</c:v>
                </c:pt>
              </c:numCache>
            </c:numRef>
          </c:val>
          <c:extLst>
            <c:ext xmlns:c16="http://schemas.microsoft.com/office/drawing/2014/chart" uri="{C3380CC4-5D6E-409C-BE32-E72D297353CC}">
              <c16:uniqueId val="{00000001-28B7-4AB6-ABD7-8413943FE304}"/>
            </c:ext>
          </c:extLst>
        </c:ser>
        <c:dLbls>
          <c:showLegendKey val="0"/>
          <c:showVal val="0"/>
          <c:showCatName val="0"/>
          <c:showSerName val="0"/>
          <c:showPercent val="0"/>
          <c:showBubbleSize val="0"/>
        </c:dLbls>
        <c:gapWidth val="182"/>
        <c:axId val="630108560"/>
        <c:axId val="630108920"/>
      </c:barChart>
      <c:catAx>
        <c:axId val="630108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108920"/>
        <c:crosses val="autoZero"/>
        <c:auto val="1"/>
        <c:lblAlgn val="ctr"/>
        <c:lblOffset val="100"/>
        <c:noMultiLvlLbl val="0"/>
      </c:catAx>
      <c:valAx>
        <c:axId val="630108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1085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[MS_Excel_Sales_Performance_Dashboard_Project.xlsx]Pivot_Sales_Person!Pivot_Region_Sales</c:name>
    <c:fmtId val="8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Pivot_Sales_Person!$B$3</c:f>
              <c:strCache>
                <c:ptCount val="1"/>
                <c:pt idx="0">
                  <c:v>Total</c:v>
                </c:pt>
              </c:strCache>
            </c:strRef>
          </c:tx>
          <c:spPr>
            <a:solidFill>
              <a:schemeClr val="accent1"/>
            </a:solidFill>
            <a:ln>
              <a:noFill/>
            </a:ln>
            <a:effectLst/>
          </c:spPr>
          <c:invertIfNegative val="0"/>
          <c:cat>
            <c:strRef>
              <c:f>Pivot_Sales_Person!$A$4:$A$8</c:f>
              <c:strCache>
                <c:ptCount val="4"/>
                <c:pt idx="0">
                  <c:v>Ahsan</c:v>
                </c:pt>
                <c:pt idx="1">
                  <c:v>Bilal</c:v>
                </c:pt>
                <c:pt idx="2">
                  <c:v>Faizan</c:v>
                </c:pt>
                <c:pt idx="3">
                  <c:v>Hassan</c:v>
                </c:pt>
              </c:strCache>
            </c:strRef>
          </c:cat>
          <c:val>
            <c:numRef>
              <c:f>Pivot_Sales_Person!$B$4:$B$8</c:f>
              <c:numCache>
                <c:formatCode>General</c:formatCode>
                <c:ptCount val="4"/>
                <c:pt idx="0">
                  <c:v>72464113</c:v>
                </c:pt>
                <c:pt idx="1">
                  <c:v>71333530</c:v>
                </c:pt>
                <c:pt idx="2">
                  <c:v>66781928</c:v>
                </c:pt>
                <c:pt idx="3">
                  <c:v>70135722</c:v>
                </c:pt>
              </c:numCache>
            </c:numRef>
          </c:val>
          <c:extLst>
            <c:ext xmlns:c16="http://schemas.microsoft.com/office/drawing/2014/chart" uri="{C3380CC4-5D6E-409C-BE32-E72D297353CC}">
              <c16:uniqueId val="{00000000-80DD-43AD-9EE7-38AFF029EAA4}"/>
            </c:ext>
          </c:extLst>
        </c:ser>
        <c:dLbls>
          <c:showLegendKey val="0"/>
          <c:showVal val="0"/>
          <c:showCatName val="0"/>
          <c:showSerName val="0"/>
          <c:showPercent val="0"/>
          <c:showBubbleSize val="0"/>
        </c:dLbls>
        <c:gapWidth val="219"/>
        <c:overlap val="-27"/>
        <c:axId val="342615168"/>
        <c:axId val="637714640"/>
      </c:barChart>
      <c:catAx>
        <c:axId val="342615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714640"/>
        <c:crosses val="autoZero"/>
        <c:auto val="1"/>
        <c:lblAlgn val="ctr"/>
        <c:lblOffset val="100"/>
        <c:noMultiLvlLbl val="0"/>
      </c:catAx>
      <c:valAx>
        <c:axId val="6377146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6151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[MS_Excel_Sales_Performance_Dashboard_Project.xlsx]Pivot_Payment_Status!Pivot_Region_Sales</c:name>
    <c:fmtId val="9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Pivot_Payment_Status!$B$3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7C-4CAE-ABC4-034B3A36E7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7C-4CAE-ABC4-034B3A36E7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7C-4CAE-ABC4-034B3A36E7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Pivot_Payment_Status!$A$4:$A$7</c:f>
              <c:strCache>
                <c:ptCount val="3"/>
                <c:pt idx="0">
                  <c:v>Paid</c:v>
                </c:pt>
                <c:pt idx="1">
                  <c:v>Pending</c:v>
                </c:pt>
                <c:pt idx="2">
                  <c:v>Unpaid</c:v>
                </c:pt>
              </c:strCache>
            </c:strRef>
          </c:cat>
          <c:val>
            <c:numRef>
              <c:f>Pivot_Payment_Status!$B$4:$B$7</c:f>
              <c:numCache>
                <c:formatCode>General</c:formatCode>
                <c:ptCount val="3"/>
                <c:pt idx="0">
                  <c:v>92735510</c:v>
                </c:pt>
                <c:pt idx="1">
                  <c:v>97883667</c:v>
                </c:pt>
                <c:pt idx="2">
                  <c:v>90096116</c:v>
                </c:pt>
              </c:numCache>
            </c:numRef>
          </c:val>
          <c:extLst>
            <c:ext xmlns:c16="http://schemas.microsoft.com/office/drawing/2014/chart" uri="{C3380CC4-5D6E-409C-BE32-E72D297353CC}">
              <c16:uniqueId val="{00000000-9ECA-4C2C-8F5D-5A52F6519877}"/>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[MS_Excel_Sales_Performance_Dashboard_Project.xlsx]Pivot_Region_Sales!Pivot_Region_Sales</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407530127458737E-2"/>
          <c:y val="0.15665034651428361"/>
          <c:w val="0.92072072072072075"/>
          <c:h val="0.69542576749820195"/>
        </c:manualLayout>
      </c:layout>
      <c:barChart>
        <c:barDir val="col"/>
        <c:grouping val="clustered"/>
        <c:varyColors val="0"/>
        <c:ser>
          <c:idx val="0"/>
          <c:order val="0"/>
          <c:tx>
            <c:strRef>
              <c:f>Pivot_Region_Sales!$B$3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Pivot_Region_Sales!$A$4:$A$8</c:f>
              <c:strCache>
                <c:ptCount val="4"/>
                <c:pt idx="0">
                  <c:v>North</c:v>
                </c:pt>
                <c:pt idx="1">
                  <c:v>East</c:v>
                </c:pt>
                <c:pt idx="2">
                  <c:v>West</c:v>
                </c:pt>
                <c:pt idx="3">
                  <c:v>South</c:v>
                </c:pt>
              </c:strCache>
            </c:strRef>
          </c:cat>
          <c:val>
            <c:numRef>
              <c:f>Pivot_Region_Sales!$B$4:$B$8</c:f>
              <c:numCache>
                <c:formatCode>General</c:formatCode>
                <c:ptCount val="4"/>
                <c:pt idx="0">
                  <c:v>78783879</c:v>
                </c:pt>
                <c:pt idx="1">
                  <c:v>70086219</c:v>
                </c:pt>
                <c:pt idx="2">
                  <c:v>66908259</c:v>
                </c:pt>
                <c:pt idx="3">
                  <c:v>64936936</c:v>
                </c:pt>
              </c:numCache>
            </c:numRef>
          </c:val>
          <c:extLst>
            <c:ext xmlns:c16="http://schemas.microsoft.com/office/drawing/2014/chart" uri="{C3380CC4-5D6E-409C-BE32-E72D297353CC}">
              <c16:uniqueId val="{00000000-4A9A-45D7-A31E-6FEE64245A47}"/>
            </c:ext>
          </c:extLst>
        </c:ser>
        <c:dLbls>
          <c:showLegendKey val="0"/>
          <c:showVal val="1"/>
          <c:showCatName val="0"/>
          <c:showSerName val="0"/>
          <c:showPercent val="0"/>
          <c:showBubbleSize val="0"/>
        </c:dLbls>
        <c:gapWidth val="150"/>
        <c:overlap val="-25"/>
        <c:axId val="553422776"/>
        <c:axId val="553418456"/>
      </c:barChart>
      <c:catAx>
        <c:axId val="553422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418456"/>
        <c:crosses val="autoZero"/>
        <c:auto val="1"/>
        <c:lblAlgn val="ctr"/>
        <c:lblOffset val="100"/>
        <c:noMultiLvlLbl val="0"/>
      </c:catAx>
      <c:valAx>
        <c:axId val="553418456"/>
        <c:scaling>
          <c:orientation val="minMax"/>
        </c:scaling>
        <c:delete val="1"/>
        <c:axPos val="l"/>
        <c:numFmt formatCode="General" sourceLinked="1"/>
        <c:majorTickMark val="out"/>
        <c:minorTickMark val="none"/>
        <c:tickLblPos val="nextTo"/>
        <c:crossAx val="553422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[MS_Excel_Sales_Performance_Dashboard_Project.xlsx]Pivot_Category_Analysis!Pivot_Region_Sales</c:name>
    <c:fmtId val="6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Pivot_Category_Analysis!$B$3</c:f>
              <c:strCache>
                <c:ptCount val="1"/>
                <c:pt idx="0">
                  <c:v>Sum of Quantity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Pivot_Category_Analysis!$A$4:$A$8</c:f>
              <c:strCache>
                <c:ptCount val="4"/>
                <c:pt idx="0">
                  <c:v>Clothing</c:v>
                </c:pt>
                <c:pt idx="1">
                  <c:v>Stationery</c:v>
                </c:pt>
                <c:pt idx="2">
                  <c:v>Electronics</c:v>
                </c:pt>
                <c:pt idx="3">
                  <c:v>Grocery</c:v>
                </c:pt>
              </c:strCache>
            </c:strRef>
          </c:cat>
          <c:val>
            <c:numRef>
              <c:f>Pivot_Category_Analysis!$B$4:$B$8</c:f>
              <c:numCache>
                <c:formatCode>General</c:formatCode>
                <c:ptCount val="4"/>
                <c:pt idx="0">
                  <c:v>2842</c:v>
                </c:pt>
                <c:pt idx="1">
                  <c:v>2760</c:v>
                </c:pt>
                <c:pt idx="2">
                  <c:v>2672</c:v>
                </c:pt>
                <c:pt idx="3">
                  <c:v>2491</c:v>
                </c:pt>
              </c:numCache>
            </c:numRef>
          </c:val>
          <c:extLst>
            <c:ext xmlns:c16="http://schemas.microsoft.com/office/drawing/2014/chart" uri="{C3380CC4-5D6E-409C-BE32-E72D297353CC}">
              <c16:uniqueId val="{00000000-8880-42FB-804F-8C9D01C6949E}"/>
            </c:ext>
          </c:extLst>
        </c:ser>
        <c:ser>
          <c:idx val="1"/>
          <c:order val="1"/>
          <c:tx>
            <c:strRef>
              <c:f>Pivot_Category_Analysis!$C$3</c:f>
              <c:strCache>
                <c:ptCount val="1"/>
                <c:pt idx="0">
                  <c:v>Sum of Total_Amount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Pivot_Category_Analysis!$A$4:$A$8</c:f>
              <c:strCache>
                <c:ptCount val="4"/>
                <c:pt idx="0">
                  <c:v>Clothing</c:v>
                </c:pt>
                <c:pt idx="1">
                  <c:v>Stationery</c:v>
                </c:pt>
                <c:pt idx="2">
                  <c:v>Electronics</c:v>
                </c:pt>
                <c:pt idx="3">
                  <c:v>Grocery</c:v>
                </c:pt>
              </c:strCache>
            </c:strRef>
          </c:cat>
          <c:val>
            <c:numRef>
              <c:f>Pivot_Category_Analysis!$C$4:$C$8</c:f>
              <c:numCache>
                <c:formatCode>General</c:formatCode>
                <c:ptCount val="4"/>
                <c:pt idx="0">
                  <c:v>71012894</c:v>
                </c:pt>
                <c:pt idx="1">
                  <c:v>74331511</c:v>
                </c:pt>
                <c:pt idx="2">
                  <c:v>70922600</c:v>
                </c:pt>
                <c:pt idx="3">
                  <c:v>64448288</c:v>
                </c:pt>
              </c:numCache>
            </c:numRef>
          </c:val>
          <c:extLst>
            <c:ext xmlns:c16="http://schemas.microsoft.com/office/drawing/2014/chart" uri="{C3380CC4-5D6E-409C-BE32-E72D297353CC}">
              <c16:uniqueId val="{00000001-8880-42FB-804F-8C9D01C6949E}"/>
            </c:ext>
          </c:extLst>
        </c:ser>
        <c:dLbls>
          <c:showLegendKey val="0"/>
          <c:showVal val="1"/>
          <c:showCatName val="0"/>
          <c:showSerName val="0"/>
          <c:showPercent val="0"/>
          <c:showBubbleSize val="0"/>
        </c:dLbls>
        <c:gapWidth val="150"/>
        <c:overlap val="-25"/>
        <c:axId val="630108560"/>
        <c:axId val="630108920"/>
      </c:barChart>
      <c:catAx>
        <c:axId val="630108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108920"/>
        <c:crosses val="autoZero"/>
        <c:auto val="1"/>
        <c:lblAlgn val="ctr"/>
        <c:lblOffset val="100"/>
        <c:noMultiLvlLbl val="0"/>
      </c:catAx>
      <c:valAx>
        <c:axId val="630108920"/>
        <c:scaling>
          <c:orientation val="minMax"/>
        </c:scaling>
        <c:delete val="1"/>
        <c:axPos val="b"/>
        <c:numFmt formatCode="General" sourceLinked="1"/>
        <c:majorTickMark val="none"/>
        <c:minorTickMark val="none"/>
        <c:tickLblPos val="nextTo"/>
        <c:crossAx val="6301085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[MS_Excel_Sales_Performance_Dashboard_Project.xlsx]Pivot_Sales_Person!Pivot_Region_Sales</c:name>
    <c:fmtId val="8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424283160124633E-2"/>
          <c:y val="7.7621324857328602E-2"/>
          <c:w val="0.94607843137254899"/>
          <c:h val="0.78854699125912009"/>
        </c:manualLayout>
      </c:layout>
      <c:barChart>
        <c:barDir val="col"/>
        <c:grouping val="clustered"/>
        <c:varyColors val="0"/>
        <c:ser>
          <c:idx val="0"/>
          <c:order val="0"/>
          <c:tx>
            <c:strRef>
              <c:f>Pivot_Sales_Person!$B$3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Pivot_Sales_Person!$A$4:$A$8</c:f>
              <c:strCache>
                <c:ptCount val="4"/>
                <c:pt idx="0">
                  <c:v>Ahsan</c:v>
                </c:pt>
                <c:pt idx="1">
                  <c:v>Bilal</c:v>
                </c:pt>
                <c:pt idx="2">
                  <c:v>Faizan</c:v>
                </c:pt>
                <c:pt idx="3">
                  <c:v>Hassan</c:v>
                </c:pt>
              </c:strCache>
            </c:strRef>
          </c:cat>
          <c:val>
            <c:numRef>
              <c:f>Pivot_Sales_Person!$B$4:$B$8</c:f>
              <c:numCache>
                <c:formatCode>General</c:formatCode>
                <c:ptCount val="4"/>
                <c:pt idx="0">
                  <c:v>72464113</c:v>
                </c:pt>
                <c:pt idx="1">
                  <c:v>71333530</c:v>
                </c:pt>
                <c:pt idx="2">
                  <c:v>66781928</c:v>
                </c:pt>
                <c:pt idx="3">
                  <c:v>70135722</c:v>
                </c:pt>
              </c:numCache>
            </c:numRef>
          </c:val>
          <c:extLst>
            <c:ext xmlns:c16="http://schemas.microsoft.com/office/drawing/2014/chart" uri="{C3380CC4-5D6E-409C-BE32-E72D297353CC}">
              <c16:uniqueId val="{00000000-E2FA-4773-8FE5-57950142CB96}"/>
            </c:ext>
          </c:extLst>
        </c:ser>
        <c:dLbls>
          <c:showLegendKey val="0"/>
          <c:showVal val="1"/>
          <c:showCatName val="0"/>
          <c:showSerName val="0"/>
          <c:showPercent val="0"/>
          <c:showBubbleSize val="0"/>
        </c:dLbls>
        <c:gapWidth val="150"/>
        <c:overlap val="-25"/>
        <c:axId val="342615168"/>
        <c:axId val="637714640"/>
      </c:barChart>
      <c:catAx>
        <c:axId val="34261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714640"/>
        <c:crosses val="autoZero"/>
        <c:auto val="1"/>
        <c:lblAlgn val="ctr"/>
        <c:lblOffset val="100"/>
        <c:noMultiLvlLbl val="0"/>
      </c:catAx>
      <c:valAx>
        <c:axId val="637714640"/>
        <c:scaling>
          <c:orientation val="minMax"/>
        </c:scaling>
        <c:delete val="1"/>
        <c:axPos val="l"/>
        <c:numFmt formatCode="General" sourceLinked="1"/>
        <c:majorTickMark val="out"/>
        <c:minorTickMark val="none"/>
        <c:tickLblPos val="nextTo"/>
        <c:crossAx val="34261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[MS_Excel_Sales_Performance_Dashboard_Project.xlsx]Pivot_Payment_Status!Pivot_Region_Sales</c:name>
    <c:fmtId val="9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Pivot_Payment_Status!$B$3</c:f>
              <c:strCache>
                <c:ptCount val="1"/>
                <c:pt idx="0">
                  <c:v>Total</c:v>
                </c:pt>
              </c:strCache>
            </c:strRef>
          </c:tx>
          <c:explosion val="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5E-471A-8E47-0F3B485690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5E-471A-8E47-0F3B485690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5E-471A-8E47-0F3B485690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Pivot_Payment_Status!$A$4:$A$7</c:f>
              <c:strCache>
                <c:ptCount val="3"/>
                <c:pt idx="0">
                  <c:v>Paid</c:v>
                </c:pt>
                <c:pt idx="1">
                  <c:v>Pending</c:v>
                </c:pt>
                <c:pt idx="2">
                  <c:v>Unpaid</c:v>
                </c:pt>
              </c:strCache>
            </c:strRef>
          </c:cat>
          <c:val>
            <c:numRef>
              <c:f>Pivot_Payment_Status!$B$4:$B$7</c:f>
              <c:numCache>
                <c:formatCode>General</c:formatCode>
                <c:ptCount val="3"/>
                <c:pt idx="0">
                  <c:v>92735510</c:v>
                </c:pt>
                <c:pt idx="1">
                  <c:v>97883667</c:v>
                </c:pt>
                <c:pt idx="2">
                  <c:v>90096116</c:v>
                </c:pt>
              </c:numCache>
            </c:numRef>
          </c:val>
          <c:extLst>
            <c:ext xmlns:c16="http://schemas.microsoft.com/office/drawing/2014/chart" uri="{C3380CC4-5D6E-409C-BE32-E72D297353CC}">
              <c16:uniqueId val="{00000006-3E5E-471A-8E47-0F3B48569072}"/>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266700</xdr:colOff>
      <xdr:row>1</xdr:row>
      <xdr:rowOff>25400</xdr:rowOff>
    </xdr:from>
    <xdr:to>
      <xdr:col>9</xdr:col>
      <xdr:colOff>571500</xdr:colOff>
      <xdr:row>16</xdr:row>
      <xdr:rowOff>6350</xdr:rowOff>
    </xdr:to>
    <xdr:graphicFrame macro="">
      <xdr:nvGraphicFramePr>
        <xdr:cNvPr id="3" name="Chart 2">
          <a:extLst>
            <a:ext uri="{FF2B5EF4-FFF2-40B4-BE49-F238E27FC236}">
              <a16:creationId xmlns:a16="http://schemas.microsoft.com/office/drawing/2014/main" id="{2719445D-E4EE-4AE5-83BB-F65E6B6ED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622300</xdr:colOff>
      <xdr:row>1</xdr:row>
      <xdr:rowOff>12700</xdr:rowOff>
    </xdr:from>
    <xdr:to>
      <xdr:col>13</xdr:col>
      <xdr:colOff>488950</xdr:colOff>
      <xdr:row>15</xdr:row>
      <xdr:rowOff>171450</xdr:rowOff>
    </xdr:to>
    <xdr:graphicFrame macro="">
      <xdr:nvGraphicFramePr>
        <xdr:cNvPr id="7" name="Chart 6">
          <a:extLst>
            <a:ext uri="{FF2B5EF4-FFF2-40B4-BE49-F238E27FC236}">
              <a16:creationId xmlns:a16="http://schemas.microsoft.com/office/drawing/2014/main" id="{3B2B31F8-0D88-4526-F18E-D8FEE86B7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590550</xdr:colOff>
      <xdr:row>3</xdr:row>
      <xdr:rowOff>88900</xdr:rowOff>
    </xdr:from>
    <xdr:to>
      <xdr:col>11</xdr:col>
      <xdr:colOff>304800</xdr:colOff>
      <xdr:row>18</xdr:row>
      <xdr:rowOff>69850</xdr:rowOff>
    </xdr:to>
    <xdr:graphicFrame macro="">
      <xdr:nvGraphicFramePr>
        <xdr:cNvPr id="4" name="Chart 3">
          <a:extLst>
            <a:ext uri="{FF2B5EF4-FFF2-40B4-BE49-F238E27FC236}">
              <a16:creationId xmlns:a16="http://schemas.microsoft.com/office/drawing/2014/main" id="{A465C75B-00CB-2B61-AE07-978C986279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965200</xdr:colOff>
      <xdr:row>0</xdr:row>
      <xdr:rowOff>0</xdr:rowOff>
    </xdr:from>
    <xdr:to>
      <xdr:col>10</xdr:col>
      <xdr:colOff>317500</xdr:colOff>
      <xdr:row>16</xdr:row>
      <xdr:rowOff>114300</xdr:rowOff>
    </xdr:to>
    <xdr:graphicFrame macro="">
      <xdr:nvGraphicFramePr>
        <xdr:cNvPr id="3" name="Chart 2">
          <a:extLst>
            <a:ext uri="{FF2B5EF4-FFF2-40B4-BE49-F238E27FC236}">
              <a16:creationId xmlns:a16="http://schemas.microsoft.com/office/drawing/2014/main" id="{1BE94234-D441-6F61-524A-F4576F8639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546274</xdr:colOff>
      <xdr:row>7</xdr:row>
      <xdr:rowOff>150812</xdr:rowOff>
    </xdr:from>
    <xdr:to>
      <xdr:col>9</xdr:col>
      <xdr:colOff>39686</xdr:colOff>
      <xdr:row>18</xdr:row>
      <xdr:rowOff>31751</xdr:rowOff>
    </xdr:to>
    <xdr:graphicFrame macro="">
      <xdr:nvGraphicFramePr>
        <xdr:cNvPr id="2" name="Chart 1">
          <a:extLst>
            <a:ext uri="{FF2B5EF4-FFF2-40B4-BE49-F238E27FC236}">
              <a16:creationId xmlns:a16="http://schemas.microsoft.com/office/drawing/2014/main" id="{0982AC23-E87C-4F29-ADCF-D389BE1D0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298450</xdr:colOff>
      <xdr:row>8</xdr:row>
      <xdr:rowOff>7938</xdr:rowOff>
    </xdr:from>
    <xdr:to>
      <xdr:col>17</xdr:col>
      <xdr:colOff>584200</xdr:colOff>
      <xdr:row>19</xdr:row>
      <xdr:rowOff>109362</xdr:rowOff>
    </xdr:to>
    <xdr:graphicFrame macro="">
      <xdr:nvGraphicFramePr>
        <xdr:cNvPr id="3" name="Chart 2">
          <a:extLst>
            <a:ext uri="{FF2B5EF4-FFF2-40B4-BE49-F238E27FC236}">
              <a16:creationId xmlns:a16="http://schemas.microsoft.com/office/drawing/2014/main" id="{F3BBA52D-8674-49D7-9030-5ABECBE66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551036</xdr:colOff>
      <xdr:row>18</xdr:row>
      <xdr:rowOff>150813</xdr:rowOff>
    </xdr:from>
    <xdr:to>
      <xdr:col>18</xdr:col>
      <xdr:colOff>424213</xdr:colOff>
      <xdr:row>28</xdr:row>
      <xdr:rowOff>55563</xdr:rowOff>
    </xdr:to>
    <xdr:graphicFrame macro="">
      <xdr:nvGraphicFramePr>
        <xdr:cNvPr id="4" name="Chart 3">
          <a:extLst>
            <a:ext uri="{FF2B5EF4-FFF2-40B4-BE49-F238E27FC236}">
              <a16:creationId xmlns:a16="http://schemas.microsoft.com/office/drawing/2014/main" id="{99B1DCDD-9D81-4C9C-8118-E98074AD3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580495</xdr:colOff>
      <xdr:row>17</xdr:row>
      <xdr:rowOff>107772</xdr:rowOff>
    </xdr:from>
    <xdr:to>
      <xdr:col>8</xdr:col>
      <xdr:colOff>469371</xdr:colOff>
      <xdr:row>29</xdr:row>
      <xdr:rowOff>53798</xdr:rowOff>
    </xdr:to>
    <xdr:graphicFrame macro="">
      <xdr:nvGraphicFramePr>
        <xdr:cNvPr id="5" name="Chart 4">
          <a:extLst>
            <a:ext uri="{FF2B5EF4-FFF2-40B4-BE49-F238E27FC236}">
              <a16:creationId xmlns:a16="http://schemas.microsoft.com/office/drawing/2014/main" id="{8A49B14E-572B-444F-9AC7-27AEE3981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179916</xdr:colOff>
      <xdr:row>4</xdr:row>
      <xdr:rowOff>105127</xdr:rowOff>
    </xdr:from>
    <xdr:to>
      <xdr:col>2</xdr:col>
      <xdr:colOff>486833</xdr:colOff>
      <xdr:row>13</xdr:row>
      <xdr:rowOff>15875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2B065B9-2311-2416-6EA0-CF8C3831A65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9916" y="835377"/>
              <a:ext cx="1529292" cy="15538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501295</xdr:colOff>
      <xdr:row>4</xdr:row>
      <xdr:rowOff>124531</xdr:rowOff>
    </xdr:from>
    <xdr:to>
      <xdr:col>21</xdr:col>
      <xdr:colOff>603249</xdr:colOff>
      <xdr:row>13</xdr:row>
      <xdr:rowOff>63499</xdr:rowOff>
    </xdr:to>
    <mc:AlternateContent xmlns:mc="http://schemas.openxmlformats.org/markup-compatibility/2006" xmlns:a14="http://schemas.microsoft.com/office/drawing/2010/main">
      <mc:Choice Requires="a14">
        <xdr:graphicFrame macro="">
          <xdr:nvGraphicFramePr>
            <xdr:cNvPr id="7" name="Product_Category">
              <a:extLst>
                <a:ext uri="{FF2B5EF4-FFF2-40B4-BE49-F238E27FC236}">
                  <a16:creationId xmlns:a16="http://schemas.microsoft.com/office/drawing/2014/main" id="{D0EC08B2-957A-CF6F-91CC-C8211E4B492E}"/>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1502670" y="854781"/>
              <a:ext cx="1935517" cy="15820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492125</xdr:colOff>
      <xdr:row>17</xdr:row>
      <xdr:rowOff>84844</xdr:rowOff>
    </xdr:from>
    <xdr:to>
      <xdr:col>22</xdr:col>
      <xdr:colOff>16758</xdr:colOff>
      <xdr:row>25</xdr:row>
      <xdr:rowOff>174626</xdr:rowOff>
    </xdr:to>
    <mc:AlternateContent xmlns:mc="http://schemas.openxmlformats.org/markup-compatibility/2006" xmlns:a14="http://schemas.microsoft.com/office/drawing/2010/main">
      <mc:Choice Requires="a14">
        <xdr:graphicFrame macro="">
          <xdr:nvGraphicFramePr>
            <xdr:cNvPr id="8" name="Sales_Person">
              <a:extLst>
                <a:ext uri="{FF2B5EF4-FFF2-40B4-BE49-F238E27FC236}">
                  <a16:creationId xmlns:a16="http://schemas.microsoft.com/office/drawing/2014/main" id="{A605ADCD-4268-86DD-ABE2-C6C02E176CE9}"/>
                </a:ext>
              </a:extLst>
            </xdr:cNvPr>
            <xdr:cNvGraphicFramePr/>
          </xdr:nvGraphicFramePr>
          <xdr:xfrm>
            <a:off x="0" y="0"/>
            <a:ext cx="0" cy="0"/>
          </xdr:xfrm>
          <a:graphic>
            <a:graphicData uri="http://schemas.microsoft.com/office/drawing/2010/slicer">
              <sle:slicer xmlns:sle="http://schemas.microsoft.com/office/drawing/2010/slicer" name="Sales_Person"/>
            </a:graphicData>
          </a:graphic>
        </xdr:graphicFrame>
      </mc:Choice>
      <mc:Fallback xmlns="">
        <xdr:sp macro="" textlink="">
          <xdr:nvSpPr>
            <xdr:cNvPr id="0" name=""/>
            <xdr:cNvSpPr>
              <a:spLocks noTextEdit="1"/>
            </xdr:cNvSpPr>
          </xdr:nvSpPr>
          <xdr:spPr>
            <a:xfrm>
              <a:off x="11493500" y="3188407"/>
              <a:ext cx="1969383" cy="15502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184325</xdr:colOff>
      <xdr:row>17</xdr:row>
      <xdr:rowOff>87313</xdr:rowOff>
    </xdr:from>
    <xdr:to>
      <xdr:col>2</xdr:col>
      <xdr:colOff>512409</xdr:colOff>
      <xdr:row>24</xdr:row>
      <xdr:rowOff>55564</xdr:rowOff>
    </xdr:to>
    <mc:AlternateContent xmlns:mc="http://schemas.openxmlformats.org/markup-compatibility/2006" xmlns:a14="http://schemas.microsoft.com/office/drawing/2010/main">
      <mc:Choice Requires="a14">
        <xdr:graphicFrame macro="">
          <xdr:nvGraphicFramePr>
            <xdr:cNvPr id="9" name="Payment_Status">
              <a:extLst>
                <a:ext uri="{FF2B5EF4-FFF2-40B4-BE49-F238E27FC236}">
                  <a16:creationId xmlns:a16="http://schemas.microsoft.com/office/drawing/2014/main" id="{C8CF6DBB-C20C-E895-2BB3-3C50504AAE13}"/>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mlns="">
        <xdr:sp macro="" textlink="">
          <xdr:nvSpPr>
            <xdr:cNvPr id="0" name=""/>
            <xdr:cNvSpPr>
              <a:spLocks noTextEdit="1"/>
            </xdr:cNvSpPr>
          </xdr:nvSpPr>
          <xdr:spPr>
            <a:xfrm>
              <a:off x="184325" y="3190876"/>
              <a:ext cx="1550459" cy="12461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7938</xdr:colOff>
      <xdr:row>3</xdr:row>
      <xdr:rowOff>142876</xdr:rowOff>
    </xdr:from>
    <xdr:to>
      <xdr:col>8</xdr:col>
      <xdr:colOff>7939</xdr:colOff>
      <xdr:row>5</xdr:row>
      <xdr:rowOff>142876</xdr:rowOff>
    </xdr:to>
    <xdr:sp macro="" textlink="">
      <xdr:nvSpPr>
        <xdr:cNvPr id="11" name="Rectangle 10">
          <a:extLst>
            <a:ext uri="{FF2B5EF4-FFF2-40B4-BE49-F238E27FC236}">
              <a16:creationId xmlns:a16="http://schemas.microsoft.com/office/drawing/2014/main" id="{EA741C0D-E0A8-3B29-81AB-CA782B2E388E}"/>
            </a:ext>
          </a:extLst>
        </xdr:cNvPr>
        <xdr:cNvSpPr/>
      </xdr:nvSpPr>
      <xdr:spPr>
        <a:xfrm>
          <a:off x="3063876" y="690564"/>
          <a:ext cx="1833563" cy="3651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Arial" panose="020B0604020202020204" pitchFamily="34" charset="0"/>
              <a:cs typeface="Arial" panose="020B0604020202020204" pitchFamily="34" charset="0"/>
            </a:rPr>
            <a:t>Total Sales Revenue</a:t>
          </a:r>
        </a:p>
      </xdr:txBody>
    </xdr:sp>
    <xdr:clientData/>
  </xdr:twoCellAnchor>
  <xdr:twoCellAnchor>
    <xdr:from>
      <xdr:col>9</xdr:col>
      <xdr:colOff>7937</xdr:colOff>
      <xdr:row>3</xdr:row>
      <xdr:rowOff>142874</xdr:rowOff>
    </xdr:from>
    <xdr:to>
      <xdr:col>12</xdr:col>
      <xdr:colOff>7938</xdr:colOff>
      <xdr:row>5</xdr:row>
      <xdr:rowOff>142874</xdr:rowOff>
    </xdr:to>
    <xdr:sp macro="" textlink="">
      <xdr:nvSpPr>
        <xdr:cNvPr id="12" name="Rectangle 11">
          <a:extLst>
            <a:ext uri="{FF2B5EF4-FFF2-40B4-BE49-F238E27FC236}">
              <a16:creationId xmlns:a16="http://schemas.microsoft.com/office/drawing/2014/main" id="{A5B2CEE7-DE20-4866-8FBE-0FC656CEE6B6}"/>
            </a:ext>
          </a:extLst>
        </xdr:cNvPr>
        <xdr:cNvSpPr/>
      </xdr:nvSpPr>
      <xdr:spPr>
        <a:xfrm>
          <a:off x="5508625" y="690562"/>
          <a:ext cx="1833563" cy="3651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latin typeface="Arial" panose="020B0604020202020204" pitchFamily="34" charset="0"/>
              <a:cs typeface="Arial" panose="020B0604020202020204" pitchFamily="34" charset="0"/>
            </a:rPr>
            <a:t>Total Units Sold</a:t>
          </a:r>
        </a:p>
      </xdr:txBody>
    </xdr:sp>
    <xdr:clientData/>
  </xdr:twoCellAnchor>
  <xdr:twoCellAnchor>
    <xdr:from>
      <xdr:col>13</xdr:col>
      <xdr:colOff>7938</xdr:colOff>
      <xdr:row>3</xdr:row>
      <xdr:rowOff>142872</xdr:rowOff>
    </xdr:from>
    <xdr:to>
      <xdr:col>16</xdr:col>
      <xdr:colOff>7939</xdr:colOff>
      <xdr:row>5</xdr:row>
      <xdr:rowOff>142872</xdr:rowOff>
    </xdr:to>
    <xdr:sp macro="" textlink="">
      <xdr:nvSpPr>
        <xdr:cNvPr id="13" name="Rectangle 12">
          <a:extLst>
            <a:ext uri="{FF2B5EF4-FFF2-40B4-BE49-F238E27FC236}">
              <a16:creationId xmlns:a16="http://schemas.microsoft.com/office/drawing/2014/main" id="{19159344-6DB0-476B-B94F-3339938C75D9}"/>
            </a:ext>
          </a:extLst>
        </xdr:cNvPr>
        <xdr:cNvSpPr/>
      </xdr:nvSpPr>
      <xdr:spPr>
        <a:xfrm>
          <a:off x="7953376" y="690560"/>
          <a:ext cx="1833563" cy="3651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a:solidFill>
                <a:schemeClr val="lt1"/>
              </a:solidFill>
              <a:latin typeface="Arial" panose="020B0604020202020204" pitchFamily="34" charset="0"/>
              <a:ea typeface="+mn-ea"/>
              <a:cs typeface="Arial" panose="020B0604020202020204" pitchFamily="34" charset="0"/>
            </a:rPr>
            <a:t>Paid Sales Amount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tasham" refreshedDate="46041.929104050927" createdVersion="8" refreshedVersion="8" minRefreshableVersion="3" recordCount="1000" xr:uid="{2565852B-562D-4C28-B3F6-276BCF567917}">
  <cacheSource type="worksheet">
    <worksheetSource name="Data"/>
  </cacheSource>
  <cacheFields count="13">
    <cacheField name="Invoice_ID" numFmtId="0">
      <sharedItems/>
    </cacheField>
    <cacheField name="Invoice_Date" numFmtId="164">
      <sharedItems containsSemiMixedTypes="0" containsNonDate="0" containsDate="1" containsString="0" minDate="2024-01-01T00:00:00" maxDate="2025-01-01T00:00:00" count="348">
        <d v="2024-06-07T00:00:00"/>
        <d v="2024-06-12T00:00:00"/>
        <d v="2024-03-27T00:00:00"/>
        <d v="2024-03-01T00:00:00"/>
        <d v="2024-09-08T00:00:00"/>
        <d v="2024-03-30T00:00:00"/>
        <d v="2024-08-27T00:00:00"/>
        <d v="2024-06-13T00:00:00"/>
        <d v="2024-03-13T00:00:00"/>
        <d v="2024-09-04T00:00:00"/>
        <d v="2024-04-10T00:00:00"/>
        <d v="2024-09-13T00:00:00"/>
        <d v="2024-12-25T00:00:00"/>
        <d v="2024-04-27T00:00:00"/>
        <d v="2024-05-14T00:00:00"/>
        <d v="2024-02-19T00:00:00"/>
        <d v="2024-10-23T00:00:00"/>
        <d v="2024-11-29T00:00:00"/>
        <d v="2024-12-29T00:00:00"/>
        <d v="2024-02-22T00:00:00"/>
        <d v="2024-07-27T00:00:00"/>
        <d v="2024-09-17T00:00:00"/>
        <d v="2024-01-20T00:00:00"/>
        <d v="2024-06-16T00:00:00"/>
        <d v="2024-08-20T00:00:00"/>
        <d v="2024-10-30T00:00:00"/>
        <d v="2024-08-11T00:00:00"/>
        <d v="2024-01-25T00:00:00"/>
        <d v="2024-10-05T00:00:00"/>
        <d v="2024-02-26T00:00:00"/>
        <d v="2024-06-09T00:00:00"/>
        <d v="2024-01-10T00:00:00"/>
        <d v="2024-12-14T00:00:00"/>
        <d v="2024-11-15T00:00:00"/>
        <d v="2024-05-12T00:00:00"/>
        <d v="2024-09-19T00:00:00"/>
        <d v="2024-03-11T00:00:00"/>
        <d v="2024-04-11T00:00:00"/>
        <d v="2024-04-14T00:00:00"/>
        <d v="2024-03-20T00:00:00"/>
        <d v="2024-11-28T00:00:00"/>
        <d v="2024-05-26T00:00:00"/>
        <d v="2024-10-18T00:00:00"/>
        <d v="2024-04-07T00:00:00"/>
        <d v="2024-07-28T00:00:00"/>
        <d v="2024-10-12T00:00:00"/>
        <d v="2024-03-22T00:00:00"/>
        <d v="2024-11-21T00:00:00"/>
        <d v="2024-07-23T00:00:00"/>
        <d v="2024-07-22T00:00:00"/>
        <d v="2024-07-24T00:00:00"/>
        <d v="2024-08-12T00:00:00"/>
        <d v="2024-07-08T00:00:00"/>
        <d v="2024-09-24T00:00:00"/>
        <d v="2024-02-13T00:00:00"/>
        <d v="2024-12-23T00:00:00"/>
        <d v="2024-01-09T00:00:00"/>
        <d v="2024-06-22T00:00:00"/>
        <d v="2024-05-04T00:00:00"/>
        <d v="2024-05-02T00:00:00"/>
        <d v="2024-11-10T00:00:00"/>
        <d v="2024-08-08T00:00:00"/>
        <d v="2024-09-27T00:00:00"/>
        <d v="2024-09-28T00:00:00"/>
        <d v="2024-03-04T00:00:00"/>
        <d v="2024-12-15T00:00:00"/>
        <d v="2024-01-29T00:00:00"/>
        <d v="2024-04-17T00:00:00"/>
        <d v="2024-09-15T00:00:00"/>
        <d v="2024-02-16T00:00:00"/>
        <d v="2024-03-26T00:00:00"/>
        <d v="2024-12-03T00:00:00"/>
        <d v="2024-11-07T00:00:00"/>
        <d v="2024-04-16T00:00:00"/>
        <d v="2024-11-01T00:00:00"/>
        <d v="2024-05-07T00:00:00"/>
        <d v="2024-08-10T00:00:00"/>
        <d v="2024-10-01T00:00:00"/>
        <d v="2024-11-22T00:00:00"/>
        <d v="2024-12-01T00:00:00"/>
        <d v="2024-05-22T00:00:00"/>
        <d v="2024-06-30T00:00:00"/>
        <d v="2024-02-06T00:00:00"/>
        <d v="2024-10-11T00:00:00"/>
        <d v="2024-11-24T00:00:00"/>
        <d v="2024-02-05T00:00:00"/>
        <d v="2024-05-10T00:00:00"/>
        <d v="2024-05-18T00:00:00"/>
        <d v="2024-05-09T00:00:00"/>
        <d v="2024-10-17T00:00:00"/>
        <d v="2024-11-12T00:00:00"/>
        <d v="2024-01-05T00:00:00"/>
        <d v="2024-06-14T00:00:00"/>
        <d v="2024-01-04T00:00:00"/>
        <d v="2024-12-20T00:00:00"/>
        <d v="2024-12-11T00:00:00"/>
        <d v="2024-05-01T00:00:00"/>
        <d v="2024-03-24T00:00:00"/>
        <d v="2024-01-14T00:00:00"/>
        <d v="2024-09-30T00:00:00"/>
        <d v="2024-03-06T00:00:00"/>
        <d v="2024-05-08T00:00:00"/>
        <d v="2024-01-07T00:00:00"/>
        <d v="2024-02-29T00:00:00"/>
        <d v="2024-11-08T00:00:00"/>
        <d v="2024-06-24T00:00:00"/>
        <d v="2024-06-29T00:00:00"/>
        <d v="2024-10-19T00:00:00"/>
        <d v="2024-04-19T00:00:00"/>
        <d v="2024-12-19T00:00:00"/>
        <d v="2024-01-17T00:00:00"/>
        <d v="2024-10-06T00:00:00"/>
        <d v="2024-12-27T00:00:00"/>
        <d v="2024-12-12T00:00:00"/>
        <d v="2024-02-17T00:00:00"/>
        <d v="2024-11-25T00:00:00"/>
        <d v="2024-12-02T00:00:00"/>
        <d v="2024-08-31T00:00:00"/>
        <d v="2024-04-13T00:00:00"/>
        <d v="2024-12-08T00:00:00"/>
        <d v="2024-04-24T00:00:00"/>
        <d v="2024-01-30T00:00:00"/>
        <d v="2024-06-18T00:00:00"/>
        <d v="2024-02-01T00:00:00"/>
        <d v="2024-04-12T00:00:00"/>
        <d v="2024-10-25T00:00:00"/>
        <d v="2024-01-16T00:00:00"/>
        <d v="2024-04-04T00:00:00"/>
        <d v="2024-05-16T00:00:00"/>
        <d v="2024-02-11T00:00:00"/>
        <d v="2024-07-18T00:00:00"/>
        <d v="2024-01-24T00:00:00"/>
        <d v="2024-01-23T00:00:00"/>
        <d v="2024-04-25T00:00:00"/>
        <d v="2024-09-05T00:00:00"/>
        <d v="2024-12-26T00:00:00"/>
        <d v="2024-06-04T00:00:00"/>
        <d v="2024-02-02T00:00:00"/>
        <d v="2024-12-31T00:00:00"/>
        <d v="2024-08-04T00:00:00"/>
        <d v="2024-11-23T00:00:00"/>
        <d v="2024-06-11T00:00:00"/>
        <d v="2024-12-07T00:00:00"/>
        <d v="2024-02-04T00:00:00"/>
        <d v="2024-07-20T00:00:00"/>
        <d v="2024-02-25T00:00:00"/>
        <d v="2024-07-11T00:00:00"/>
        <d v="2024-05-15T00:00:00"/>
        <d v="2024-01-18T00:00:00"/>
        <d v="2024-10-24T00:00:00"/>
        <d v="2024-05-30T00:00:00"/>
        <d v="2024-09-10T00:00:00"/>
        <d v="2024-11-02T00:00:00"/>
        <d v="2024-10-10T00:00:00"/>
        <d v="2024-10-14T00:00:00"/>
        <d v="2024-04-09T00:00:00"/>
        <d v="2024-06-01T00:00:00"/>
        <d v="2024-06-15T00:00:00"/>
        <d v="2024-04-01T00:00:00"/>
        <d v="2024-10-16T00:00:00"/>
        <d v="2024-01-27T00:00:00"/>
        <d v="2024-12-06T00:00:00"/>
        <d v="2024-11-30T00:00:00"/>
        <d v="2024-03-17T00:00:00"/>
        <d v="2024-06-06T00:00:00"/>
        <d v="2024-08-13T00:00:00"/>
        <d v="2024-03-02T00:00:00"/>
        <d v="2024-06-21T00:00:00"/>
        <d v="2024-03-07T00:00:00"/>
        <d v="2024-07-09T00:00:00"/>
        <d v="2024-12-24T00:00:00"/>
        <d v="2024-01-19T00:00:00"/>
        <d v="2024-09-29T00:00:00"/>
        <d v="2024-06-19T00:00:00"/>
        <d v="2024-03-10T00:00:00"/>
        <d v="2024-09-22T00:00:00"/>
        <d v="2024-04-15T00:00:00"/>
        <d v="2024-07-21T00:00:00"/>
        <d v="2024-06-25T00:00:00"/>
        <d v="2024-01-21T00:00:00"/>
        <d v="2024-01-28T00:00:00"/>
        <d v="2024-07-30T00:00:00"/>
        <d v="2024-05-20T00:00:00"/>
        <d v="2024-04-08T00:00:00"/>
        <d v="2024-02-08T00:00:00"/>
        <d v="2024-02-14T00:00:00"/>
        <d v="2024-05-21T00:00:00"/>
        <d v="2024-09-09T00:00:00"/>
        <d v="2024-05-29T00:00:00"/>
        <d v="2024-06-02T00:00:00"/>
        <d v="2024-05-27T00:00:00"/>
        <d v="2024-05-24T00:00:00"/>
        <d v="2024-05-19T00:00:00"/>
        <d v="2024-09-02T00:00:00"/>
        <d v="2024-10-09T00:00:00"/>
        <d v="2024-03-16T00:00:00"/>
        <d v="2024-04-21T00:00:00"/>
        <d v="2024-09-18T00:00:00"/>
        <d v="2024-01-01T00:00:00"/>
        <d v="2024-10-28T00:00:00"/>
        <d v="2024-08-15T00:00:00"/>
        <d v="2024-06-26T00:00:00"/>
        <d v="2024-07-10T00:00:00"/>
        <d v="2024-05-28T00:00:00"/>
        <d v="2024-06-03T00:00:00"/>
        <d v="2024-10-31T00:00:00"/>
        <d v="2024-02-21T00:00:00"/>
        <d v="2024-12-05T00:00:00"/>
        <d v="2024-09-11T00:00:00"/>
        <d v="2024-12-28T00:00:00"/>
        <d v="2024-02-20T00:00:00"/>
        <d v="2024-12-30T00:00:00"/>
        <d v="2024-08-03T00:00:00"/>
        <d v="2024-11-11T00:00:00"/>
        <d v="2024-04-26T00:00:00"/>
        <d v="2024-03-09T00:00:00"/>
        <d v="2024-09-26T00:00:00"/>
        <d v="2024-05-23T00:00:00"/>
        <d v="2024-08-23T00:00:00"/>
        <d v="2024-11-19T00:00:00"/>
        <d v="2024-08-24T00:00:00"/>
        <d v="2024-02-24T00:00:00"/>
        <d v="2024-05-11T00:00:00"/>
        <d v="2024-07-25T00:00:00"/>
        <d v="2024-02-03T00:00:00"/>
        <d v="2024-09-23T00:00:00"/>
        <d v="2024-12-17T00:00:00"/>
        <d v="2024-06-08T00:00:00"/>
        <d v="2024-10-20T00:00:00"/>
        <d v="2024-07-02T00:00:00"/>
        <d v="2024-10-26T00:00:00"/>
        <d v="2024-03-14T00:00:00"/>
        <d v="2024-11-05T00:00:00"/>
        <d v="2024-09-25T00:00:00"/>
        <d v="2024-05-13T00:00:00"/>
        <d v="2024-04-03T00:00:00"/>
        <d v="2024-01-08T00:00:00"/>
        <d v="2024-04-23T00:00:00"/>
        <d v="2024-07-05T00:00:00"/>
        <d v="2024-12-21T00:00:00"/>
        <d v="2024-09-07T00:00:00"/>
        <d v="2024-08-06T00:00:00"/>
        <d v="2024-01-26T00:00:00"/>
        <d v="2024-05-06T00:00:00"/>
        <d v="2024-07-15T00:00:00"/>
        <d v="2024-04-18T00:00:00"/>
        <d v="2024-08-30T00:00:00"/>
        <d v="2024-11-16T00:00:00"/>
        <d v="2024-11-18T00:00:00"/>
        <d v="2024-09-06T00:00:00"/>
        <d v="2024-07-16T00:00:00"/>
        <d v="2024-06-20T00:00:00"/>
        <d v="2024-07-14T00:00:00"/>
        <d v="2024-11-20T00:00:00"/>
        <d v="2024-06-05T00:00:00"/>
        <d v="2024-11-06T00:00:00"/>
        <d v="2024-11-09T00:00:00"/>
        <d v="2024-03-28T00:00:00"/>
        <d v="2024-11-04T00:00:00"/>
        <d v="2024-02-10T00:00:00"/>
        <d v="2024-09-03T00:00:00"/>
        <d v="2024-12-10T00:00:00"/>
        <d v="2024-05-25T00:00:00"/>
        <d v="2024-05-05T00:00:00"/>
        <d v="2024-08-07T00:00:00"/>
        <d v="2024-01-03T00:00:00"/>
        <d v="2024-08-18T00:00:00"/>
        <d v="2024-01-22T00:00:00"/>
        <d v="2024-04-30T00:00:00"/>
        <d v="2024-06-23T00:00:00"/>
        <d v="2024-05-17T00:00:00"/>
        <d v="2024-03-03T00:00:00"/>
        <d v="2024-08-17T00:00:00"/>
        <d v="2024-02-12T00:00:00"/>
        <d v="2024-08-19T00:00:00"/>
        <d v="2024-08-02T00:00:00"/>
        <d v="2024-07-04T00:00:00"/>
        <d v="2024-04-29T00:00:00"/>
        <d v="2024-09-21T00:00:00"/>
        <d v="2024-10-04T00:00:00"/>
        <d v="2024-08-22T00:00:00"/>
        <d v="2024-07-01T00:00:00"/>
        <d v="2024-12-16T00:00:00"/>
        <d v="2024-03-12T00:00:00"/>
        <d v="2024-10-27T00:00:00"/>
        <d v="2024-08-29T00:00:00"/>
        <d v="2024-12-22T00:00:00"/>
        <d v="2024-03-05T00:00:00"/>
        <d v="2024-01-02T00:00:00"/>
        <d v="2024-12-09T00:00:00"/>
        <d v="2024-01-13T00:00:00"/>
        <d v="2024-03-18T00:00:00"/>
        <d v="2024-02-18T00:00:00"/>
        <d v="2024-10-21T00:00:00"/>
        <d v="2024-05-31T00:00:00"/>
        <d v="2024-04-22T00:00:00"/>
        <d v="2024-08-01T00:00:00"/>
        <d v="2024-10-15T00:00:00"/>
        <d v="2024-11-13T00:00:00"/>
        <d v="2024-01-06T00:00:00"/>
        <d v="2024-03-19T00:00:00"/>
        <d v="2024-08-26T00:00:00"/>
        <d v="2024-08-16T00:00:00"/>
        <d v="2024-02-15T00:00:00"/>
        <d v="2024-03-21T00:00:00"/>
        <d v="2024-05-03T00:00:00"/>
        <d v="2024-03-23T00:00:00"/>
        <d v="2024-09-20T00:00:00"/>
        <d v="2024-09-16T00:00:00"/>
        <d v="2024-07-03T00:00:00"/>
        <d v="2024-02-07T00:00:00"/>
        <d v="2024-06-27T00:00:00"/>
        <d v="2024-08-14T00:00:00"/>
        <d v="2024-11-27T00:00:00"/>
        <d v="2024-07-26T00:00:00"/>
        <d v="2024-07-31T00:00:00"/>
        <d v="2024-11-03T00:00:00"/>
        <d v="2024-10-02T00:00:00"/>
        <d v="2024-02-28T00:00:00"/>
        <d v="2024-01-31T00:00:00"/>
        <d v="2024-02-09T00:00:00"/>
        <d v="2024-10-07T00:00:00"/>
        <d v="2024-01-15T00:00:00"/>
        <d v="2024-10-03T00:00:00"/>
        <d v="2024-12-13T00:00:00"/>
        <d v="2024-09-12T00:00:00"/>
        <d v="2024-10-13T00:00:00"/>
        <d v="2024-04-28T00:00:00"/>
        <d v="2024-01-12T00:00:00"/>
        <d v="2024-06-17T00:00:00"/>
        <d v="2024-07-29T00:00:00"/>
        <d v="2024-11-14T00:00:00"/>
        <d v="2024-09-14T00:00:00"/>
        <d v="2024-08-25T00:00:00"/>
        <d v="2024-08-09T00:00:00"/>
        <d v="2024-07-19T00:00:00"/>
        <d v="2024-03-29T00:00:00"/>
        <d v="2024-03-25T00:00:00"/>
        <d v="2024-02-27T00:00:00"/>
        <d v="2024-06-10T00:00:00"/>
        <d v="2024-08-21T00:00:00"/>
        <d v="2024-12-18T00:00:00"/>
        <d v="2024-10-22T00:00:00"/>
        <d v="2024-04-05T00:00:00"/>
        <d v="2024-08-05T00:00:00"/>
        <d v="2024-07-13T00:00:00"/>
        <d v="2024-10-08T00:00:00"/>
        <d v="2024-12-04T00:00:00"/>
      </sharedItems>
      <fieldGroup par="12"/>
    </cacheField>
    <cacheField name="Customer_Name" numFmtId="0">
      <sharedItems/>
    </cacheField>
    <cacheField name="Region" numFmtId="0">
      <sharedItems count="4">
        <s v="South"/>
        <s v="North"/>
        <s v="East"/>
        <s v="West"/>
      </sharedItems>
    </cacheField>
    <cacheField name="Product_Category" numFmtId="0">
      <sharedItems count="4">
        <s v="Electronics"/>
        <s v="Clothing"/>
        <s v="Grocery"/>
        <s v="Stationery"/>
      </sharedItems>
    </cacheField>
    <cacheField name="Product_Name" numFmtId="0">
      <sharedItems/>
    </cacheField>
    <cacheField name="Quantity" numFmtId="0">
      <sharedItems containsSemiMixedTypes="0" containsString="0" containsNumber="1" containsInteger="1" minValue="1" maxValue="20"/>
    </cacheField>
    <cacheField name="Unit_Price" numFmtId="0">
      <sharedItems containsSemiMixedTypes="0" containsString="0" containsNumber="1" containsInteger="1" minValue="433" maxValue="49979"/>
    </cacheField>
    <cacheField name="Total_Amount" numFmtId="0">
      <sharedItems containsSemiMixedTypes="0" containsString="0" containsNumber="1" containsInteger="1" minValue="716" maxValue="999180"/>
    </cacheField>
    <cacheField name="Sales_Person" numFmtId="0">
      <sharedItems count="4">
        <s v="Hassan"/>
        <s v="Ahsan"/>
        <s v="Bilal"/>
        <s v="Faizan"/>
      </sharedItems>
    </cacheField>
    <cacheField name="Payment_Status" numFmtId="0">
      <sharedItems count="3">
        <s v="Pending"/>
        <s v="Unpaid"/>
        <s v="Paid"/>
      </sharedItems>
    </cacheField>
    <cacheField name="Days (Invoice_Date)" numFmtId="0" databaseField="0">
      <fieldGroup base="1">
        <rangePr groupBy="days" startDate="2024-01-01T00:00:00" endDate="2025-01-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5"/>
        </groupItems>
      </fieldGroup>
    </cacheField>
    <cacheField name="Months (Invoice_Date)" numFmtId="0" databaseField="0">
      <fieldGroup base="1">
        <rangePr groupBy="months" startDate="2024-01-01T00:00:00" endDate="2025-01-01T00:00:00"/>
        <groupItems count="14">
          <s v="&lt;1/1/2024"/>
          <s v="Jan"/>
          <s v="Feb"/>
          <s v="Mar"/>
          <s v="Apr"/>
          <s v="May"/>
          <s v="Jun"/>
          <s v="Jul"/>
          <s v="Aug"/>
          <s v="Sep"/>
          <s v="Oct"/>
          <s v="Nov"/>
          <s v="Dec"/>
          <s v="&gt;1/1/2025"/>
        </groupItems>
      </fieldGroup>
    </cacheField>
  </cacheFields>
  <extLst>
    <ext xmlns:x14="http://schemas.microsoft.com/office/spreadsheetml/2009/9/main" uri="{725AE2AE-9491-48be-B2B4-4EB974FC3084}">
      <x14:pivotCacheDefinition pivotCacheId="17736275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INV-1001"/>
    <x v="0"/>
    <s v="Zahid Electronics"/>
    <x v="0"/>
    <x v="0"/>
    <s v="Headphones"/>
    <n v="9"/>
    <n v="44157"/>
    <n v="397413"/>
    <x v="0"/>
    <x v="0"/>
  </r>
  <r>
    <s v="INV-1002"/>
    <x v="1"/>
    <s v="Zahid Electronics"/>
    <x v="1"/>
    <x v="0"/>
    <s v="Mobile"/>
    <n v="5"/>
    <n v="26750"/>
    <n v="133750"/>
    <x v="1"/>
    <x v="1"/>
  </r>
  <r>
    <s v="INV-1003"/>
    <x v="2"/>
    <s v="Khan Store"/>
    <x v="1"/>
    <x v="1"/>
    <s v="Shirt"/>
    <n v="17"/>
    <n v="29750"/>
    <n v="505750"/>
    <x v="2"/>
    <x v="1"/>
  </r>
  <r>
    <s v="INV-1004"/>
    <x v="3"/>
    <s v="Ali Traders"/>
    <x v="1"/>
    <x v="2"/>
    <s v="Oil"/>
    <n v="15"/>
    <n v="24934"/>
    <n v="374010"/>
    <x v="3"/>
    <x v="2"/>
  </r>
  <r>
    <s v="INV-1005"/>
    <x v="4"/>
    <s v="Khan Store"/>
    <x v="2"/>
    <x v="0"/>
    <s v="Mobile"/>
    <n v="4"/>
    <n v="21632"/>
    <n v="86528"/>
    <x v="0"/>
    <x v="0"/>
  </r>
  <r>
    <s v="INV-1006"/>
    <x v="5"/>
    <s v="Ahmed Mart"/>
    <x v="3"/>
    <x v="3"/>
    <s v="Notebook"/>
    <n v="4"/>
    <n v="27832"/>
    <n v="111328"/>
    <x v="2"/>
    <x v="0"/>
  </r>
  <r>
    <s v="INV-1007"/>
    <x v="1"/>
    <s v="Zahid Electronics"/>
    <x v="1"/>
    <x v="3"/>
    <s v="Notebook"/>
    <n v="13"/>
    <n v="31160"/>
    <n v="405080"/>
    <x v="3"/>
    <x v="1"/>
  </r>
  <r>
    <s v="INV-1008"/>
    <x v="6"/>
    <s v="Usman Enterprises"/>
    <x v="3"/>
    <x v="2"/>
    <s v="Sugar"/>
    <n v="7"/>
    <n v="2020"/>
    <n v="14140"/>
    <x v="0"/>
    <x v="0"/>
  </r>
  <r>
    <s v="INV-1009"/>
    <x v="7"/>
    <s v="Usman Enterprises"/>
    <x v="3"/>
    <x v="2"/>
    <s v="Oil"/>
    <n v="8"/>
    <n v="39361"/>
    <n v="314888"/>
    <x v="0"/>
    <x v="2"/>
  </r>
  <r>
    <s v="INV-1010"/>
    <x v="8"/>
    <s v="Khan Store"/>
    <x v="0"/>
    <x v="2"/>
    <s v="Sugar"/>
    <n v="3"/>
    <n v="42054"/>
    <n v="126162"/>
    <x v="1"/>
    <x v="1"/>
  </r>
  <r>
    <s v="INV-1011"/>
    <x v="9"/>
    <s v="Ahmed Mart"/>
    <x v="3"/>
    <x v="1"/>
    <s v="Jeans"/>
    <n v="12"/>
    <n v="46167"/>
    <n v="554004"/>
    <x v="2"/>
    <x v="1"/>
  </r>
  <r>
    <s v="INV-1012"/>
    <x v="10"/>
    <s v="Khan Store"/>
    <x v="1"/>
    <x v="2"/>
    <s v="Oil"/>
    <n v="17"/>
    <n v="39396"/>
    <n v="669732"/>
    <x v="1"/>
    <x v="0"/>
  </r>
  <r>
    <s v="INV-1013"/>
    <x v="11"/>
    <s v="Ali Traders"/>
    <x v="0"/>
    <x v="1"/>
    <s v="Jeans"/>
    <n v="4"/>
    <n v="20475"/>
    <n v="81900"/>
    <x v="0"/>
    <x v="2"/>
  </r>
  <r>
    <s v="INV-1014"/>
    <x v="12"/>
    <s v="Ahmed Mart"/>
    <x v="0"/>
    <x v="1"/>
    <s v="Shirt"/>
    <n v="17"/>
    <n v="1493"/>
    <n v="25381"/>
    <x v="0"/>
    <x v="1"/>
  </r>
  <r>
    <s v="INV-1015"/>
    <x v="2"/>
    <s v="Zahid Electronics"/>
    <x v="0"/>
    <x v="0"/>
    <s v="Headphones"/>
    <n v="4"/>
    <n v="49316"/>
    <n v="197264"/>
    <x v="2"/>
    <x v="1"/>
  </r>
  <r>
    <s v="INV-1016"/>
    <x v="13"/>
    <s v="Zahid Electronics"/>
    <x v="1"/>
    <x v="2"/>
    <s v="Oil"/>
    <n v="17"/>
    <n v="28375"/>
    <n v="482375"/>
    <x v="2"/>
    <x v="2"/>
  </r>
  <r>
    <s v="INV-1017"/>
    <x v="14"/>
    <s v="Zahid Electronics"/>
    <x v="1"/>
    <x v="3"/>
    <s v="Marker"/>
    <n v="2"/>
    <n v="23376"/>
    <n v="46752"/>
    <x v="0"/>
    <x v="1"/>
  </r>
  <r>
    <s v="INV-1018"/>
    <x v="15"/>
    <s v="Ali Traders"/>
    <x v="3"/>
    <x v="3"/>
    <s v="Notebook"/>
    <n v="18"/>
    <n v="40114"/>
    <n v="722052"/>
    <x v="0"/>
    <x v="0"/>
  </r>
  <r>
    <s v="INV-1019"/>
    <x v="16"/>
    <s v="Ali Traders"/>
    <x v="0"/>
    <x v="1"/>
    <s v="Jacket"/>
    <n v="4"/>
    <n v="18824"/>
    <n v="75296"/>
    <x v="2"/>
    <x v="2"/>
  </r>
  <r>
    <s v="INV-1020"/>
    <x v="17"/>
    <s v="Zahid Electronics"/>
    <x v="1"/>
    <x v="0"/>
    <s v="Headphones"/>
    <n v="10"/>
    <n v="29026"/>
    <n v="290260"/>
    <x v="1"/>
    <x v="2"/>
  </r>
  <r>
    <s v="INV-1021"/>
    <x v="18"/>
    <s v="Usman Enterprises"/>
    <x v="1"/>
    <x v="3"/>
    <s v="Marker"/>
    <n v="9"/>
    <n v="42256"/>
    <n v="380304"/>
    <x v="3"/>
    <x v="2"/>
  </r>
  <r>
    <s v="INV-1022"/>
    <x v="19"/>
    <s v="Usman Enterprises"/>
    <x v="3"/>
    <x v="0"/>
    <s v="Laptop"/>
    <n v="16"/>
    <n v="14900"/>
    <n v="238400"/>
    <x v="3"/>
    <x v="1"/>
  </r>
  <r>
    <s v="INV-1023"/>
    <x v="20"/>
    <s v="Usman Enterprises"/>
    <x v="2"/>
    <x v="0"/>
    <s v="Laptop"/>
    <n v="20"/>
    <n v="17617"/>
    <n v="352340"/>
    <x v="2"/>
    <x v="1"/>
  </r>
  <r>
    <s v="INV-1024"/>
    <x v="21"/>
    <s v="Ali Traders"/>
    <x v="3"/>
    <x v="3"/>
    <s v="Pen"/>
    <n v="8"/>
    <n v="38795"/>
    <n v="310360"/>
    <x v="0"/>
    <x v="0"/>
  </r>
  <r>
    <s v="INV-1025"/>
    <x v="22"/>
    <s v="Usman Enterprises"/>
    <x v="3"/>
    <x v="0"/>
    <s v="Headphones"/>
    <n v="6"/>
    <n v="32339"/>
    <n v="194034"/>
    <x v="2"/>
    <x v="2"/>
  </r>
  <r>
    <s v="INV-1026"/>
    <x v="23"/>
    <s v="Zahid Electronics"/>
    <x v="3"/>
    <x v="1"/>
    <s v="Jacket"/>
    <n v="3"/>
    <n v="26874"/>
    <n v="80622"/>
    <x v="0"/>
    <x v="2"/>
  </r>
  <r>
    <s v="INV-1027"/>
    <x v="24"/>
    <s v="Ahmed Mart"/>
    <x v="1"/>
    <x v="2"/>
    <s v="Sugar"/>
    <n v="2"/>
    <n v="36577"/>
    <n v="73154"/>
    <x v="3"/>
    <x v="1"/>
  </r>
  <r>
    <s v="INV-1028"/>
    <x v="25"/>
    <s v="Ali Traders"/>
    <x v="0"/>
    <x v="3"/>
    <s v="Marker"/>
    <n v="19"/>
    <n v="33566"/>
    <n v="637754"/>
    <x v="1"/>
    <x v="2"/>
  </r>
  <r>
    <s v="INV-1029"/>
    <x v="26"/>
    <s v="Ali Traders"/>
    <x v="3"/>
    <x v="3"/>
    <s v="Pen"/>
    <n v="3"/>
    <n v="26410"/>
    <n v="79230"/>
    <x v="1"/>
    <x v="1"/>
  </r>
  <r>
    <s v="INV-1030"/>
    <x v="27"/>
    <s v="Usman Enterprises"/>
    <x v="1"/>
    <x v="2"/>
    <s v="Sugar"/>
    <n v="15"/>
    <n v="7980"/>
    <n v="119700"/>
    <x v="3"/>
    <x v="2"/>
  </r>
  <r>
    <s v="INV-1031"/>
    <x v="28"/>
    <s v="Zahid Electronics"/>
    <x v="3"/>
    <x v="1"/>
    <s v="Jacket"/>
    <n v="11"/>
    <n v="33395"/>
    <n v="367345"/>
    <x v="1"/>
    <x v="1"/>
  </r>
  <r>
    <s v="INV-1032"/>
    <x v="29"/>
    <s v="Ali Traders"/>
    <x v="0"/>
    <x v="1"/>
    <s v="Jeans"/>
    <n v="17"/>
    <n v="16714"/>
    <n v="284138"/>
    <x v="3"/>
    <x v="1"/>
  </r>
  <r>
    <s v="INV-1033"/>
    <x v="30"/>
    <s v="Usman Enterprises"/>
    <x v="1"/>
    <x v="2"/>
    <s v="Oil"/>
    <n v="20"/>
    <n v="2132"/>
    <n v="42640"/>
    <x v="0"/>
    <x v="1"/>
  </r>
  <r>
    <s v="INV-1034"/>
    <x v="31"/>
    <s v="Zahid Electronics"/>
    <x v="2"/>
    <x v="0"/>
    <s v="Laptop"/>
    <n v="12"/>
    <n v="40207"/>
    <n v="482484"/>
    <x v="1"/>
    <x v="1"/>
  </r>
  <r>
    <s v="INV-1035"/>
    <x v="32"/>
    <s v="Usman Enterprises"/>
    <x v="0"/>
    <x v="0"/>
    <s v="Laptop"/>
    <n v="14"/>
    <n v="12628"/>
    <n v="176792"/>
    <x v="1"/>
    <x v="2"/>
  </r>
  <r>
    <s v="INV-1036"/>
    <x v="33"/>
    <s v="Ali Traders"/>
    <x v="1"/>
    <x v="0"/>
    <s v="Mobile"/>
    <n v="20"/>
    <n v="25095"/>
    <n v="501900"/>
    <x v="2"/>
    <x v="0"/>
  </r>
  <r>
    <s v="INV-1037"/>
    <x v="34"/>
    <s v="Khan Store"/>
    <x v="1"/>
    <x v="0"/>
    <s v="Headphones"/>
    <n v="15"/>
    <n v="43511"/>
    <n v="652665"/>
    <x v="1"/>
    <x v="1"/>
  </r>
  <r>
    <s v="INV-1038"/>
    <x v="35"/>
    <s v="Khan Store"/>
    <x v="0"/>
    <x v="1"/>
    <s v="Shirt"/>
    <n v="3"/>
    <n v="40933"/>
    <n v="122799"/>
    <x v="1"/>
    <x v="1"/>
  </r>
  <r>
    <s v="INV-1039"/>
    <x v="36"/>
    <s v="Usman Enterprises"/>
    <x v="3"/>
    <x v="2"/>
    <s v="Rice"/>
    <n v="10"/>
    <n v="11511"/>
    <n v="115110"/>
    <x v="0"/>
    <x v="1"/>
  </r>
  <r>
    <s v="INV-1040"/>
    <x v="37"/>
    <s v="Zahid Electronics"/>
    <x v="0"/>
    <x v="1"/>
    <s v="Jeans"/>
    <n v="4"/>
    <n v="17873"/>
    <n v="71492"/>
    <x v="3"/>
    <x v="0"/>
  </r>
  <r>
    <s v="INV-1041"/>
    <x v="38"/>
    <s v="Zahid Electronics"/>
    <x v="0"/>
    <x v="1"/>
    <s v="Jacket"/>
    <n v="19"/>
    <n v="3944"/>
    <n v="74936"/>
    <x v="2"/>
    <x v="2"/>
  </r>
  <r>
    <s v="INV-1042"/>
    <x v="39"/>
    <s v="Usman Enterprises"/>
    <x v="3"/>
    <x v="1"/>
    <s v="Jeans"/>
    <n v="11"/>
    <n v="24298"/>
    <n v="267278"/>
    <x v="3"/>
    <x v="2"/>
  </r>
  <r>
    <s v="INV-1043"/>
    <x v="21"/>
    <s v="Zahid Electronics"/>
    <x v="2"/>
    <x v="2"/>
    <s v="Oil"/>
    <n v="19"/>
    <n v="31286"/>
    <n v="594434"/>
    <x v="3"/>
    <x v="2"/>
  </r>
  <r>
    <s v="INV-1044"/>
    <x v="40"/>
    <s v="Ahmed Mart"/>
    <x v="2"/>
    <x v="3"/>
    <s v="Marker"/>
    <n v="4"/>
    <n v="8277"/>
    <n v="33108"/>
    <x v="0"/>
    <x v="1"/>
  </r>
  <r>
    <s v="INV-1045"/>
    <x v="41"/>
    <s v="Ali Traders"/>
    <x v="0"/>
    <x v="2"/>
    <s v="Oil"/>
    <n v="9"/>
    <n v="7030"/>
    <n v="63270"/>
    <x v="2"/>
    <x v="1"/>
  </r>
  <r>
    <s v="INV-1046"/>
    <x v="42"/>
    <s v="Ali Traders"/>
    <x v="2"/>
    <x v="1"/>
    <s v="Jeans"/>
    <n v="14"/>
    <n v="48515"/>
    <n v="679210"/>
    <x v="2"/>
    <x v="1"/>
  </r>
  <r>
    <s v="INV-1047"/>
    <x v="43"/>
    <s v="Usman Enterprises"/>
    <x v="2"/>
    <x v="0"/>
    <s v="Laptop"/>
    <n v="2"/>
    <n v="29006"/>
    <n v="58012"/>
    <x v="3"/>
    <x v="1"/>
  </r>
  <r>
    <s v="INV-1048"/>
    <x v="44"/>
    <s v="Khan Store"/>
    <x v="3"/>
    <x v="1"/>
    <s v="Shirt"/>
    <n v="20"/>
    <n v="42055"/>
    <n v="841100"/>
    <x v="3"/>
    <x v="1"/>
  </r>
  <r>
    <s v="INV-1049"/>
    <x v="45"/>
    <s v="Ahmed Mart"/>
    <x v="2"/>
    <x v="2"/>
    <s v="Rice"/>
    <n v="3"/>
    <n v="38196"/>
    <n v="114588"/>
    <x v="3"/>
    <x v="2"/>
  </r>
  <r>
    <s v="INV-1050"/>
    <x v="46"/>
    <s v="Ahmed Mart"/>
    <x v="0"/>
    <x v="1"/>
    <s v="Jacket"/>
    <n v="5"/>
    <n v="38176"/>
    <n v="190880"/>
    <x v="2"/>
    <x v="2"/>
  </r>
  <r>
    <s v="INV-1051"/>
    <x v="47"/>
    <s v="Ali Traders"/>
    <x v="1"/>
    <x v="0"/>
    <s v="Headphones"/>
    <n v="12"/>
    <n v="17750"/>
    <n v="213000"/>
    <x v="0"/>
    <x v="0"/>
  </r>
  <r>
    <s v="INV-1052"/>
    <x v="48"/>
    <s v="Usman Enterprises"/>
    <x v="1"/>
    <x v="2"/>
    <s v="Oil"/>
    <n v="19"/>
    <n v="10145"/>
    <n v="192755"/>
    <x v="2"/>
    <x v="2"/>
  </r>
  <r>
    <s v="INV-1053"/>
    <x v="14"/>
    <s v="Ahmed Mart"/>
    <x v="3"/>
    <x v="3"/>
    <s v="Marker"/>
    <n v="7"/>
    <n v="14292"/>
    <n v="100044"/>
    <x v="1"/>
    <x v="2"/>
  </r>
  <r>
    <s v="INV-1054"/>
    <x v="49"/>
    <s v="Ahmed Mart"/>
    <x v="0"/>
    <x v="3"/>
    <s v="Marker"/>
    <n v="20"/>
    <n v="3229"/>
    <n v="64580"/>
    <x v="2"/>
    <x v="2"/>
  </r>
  <r>
    <s v="INV-1055"/>
    <x v="50"/>
    <s v="Ali Traders"/>
    <x v="1"/>
    <x v="1"/>
    <s v="Jacket"/>
    <n v="7"/>
    <n v="11586"/>
    <n v="81102"/>
    <x v="1"/>
    <x v="0"/>
  </r>
  <r>
    <s v="INV-1056"/>
    <x v="45"/>
    <s v="Zahid Electronics"/>
    <x v="1"/>
    <x v="3"/>
    <s v="Marker"/>
    <n v="18"/>
    <n v="20916"/>
    <n v="376488"/>
    <x v="0"/>
    <x v="2"/>
  </r>
  <r>
    <s v="INV-1057"/>
    <x v="51"/>
    <s v="Khan Store"/>
    <x v="0"/>
    <x v="2"/>
    <s v="Oil"/>
    <n v="13"/>
    <n v="46897"/>
    <n v="609661"/>
    <x v="3"/>
    <x v="1"/>
  </r>
  <r>
    <s v="INV-1058"/>
    <x v="52"/>
    <s v="Zahid Electronics"/>
    <x v="3"/>
    <x v="0"/>
    <s v="Mobile"/>
    <n v="18"/>
    <n v="44872"/>
    <n v="807696"/>
    <x v="2"/>
    <x v="1"/>
  </r>
  <r>
    <s v="INV-1059"/>
    <x v="27"/>
    <s v="Zahid Electronics"/>
    <x v="1"/>
    <x v="2"/>
    <s v="Oil"/>
    <n v="20"/>
    <n v="30021"/>
    <n v="600420"/>
    <x v="2"/>
    <x v="2"/>
  </r>
  <r>
    <s v="INV-1060"/>
    <x v="53"/>
    <s v="Ahmed Mart"/>
    <x v="1"/>
    <x v="2"/>
    <s v="Sugar"/>
    <n v="13"/>
    <n v="39006"/>
    <n v="507078"/>
    <x v="2"/>
    <x v="2"/>
  </r>
  <r>
    <s v="INV-1061"/>
    <x v="54"/>
    <s v="Usman Enterprises"/>
    <x v="0"/>
    <x v="2"/>
    <s v="Rice"/>
    <n v="15"/>
    <n v="22470"/>
    <n v="337050"/>
    <x v="1"/>
    <x v="2"/>
  </r>
  <r>
    <s v="INV-1062"/>
    <x v="55"/>
    <s v="Ali Traders"/>
    <x v="1"/>
    <x v="0"/>
    <s v="Mobile"/>
    <n v="17"/>
    <n v="40062"/>
    <n v="681054"/>
    <x v="0"/>
    <x v="2"/>
  </r>
  <r>
    <s v="INV-1063"/>
    <x v="56"/>
    <s v="Ali Traders"/>
    <x v="1"/>
    <x v="2"/>
    <s v="Sugar"/>
    <n v="17"/>
    <n v="22342"/>
    <n v="379814"/>
    <x v="1"/>
    <x v="2"/>
  </r>
  <r>
    <s v="INV-1064"/>
    <x v="57"/>
    <s v="Ahmed Mart"/>
    <x v="0"/>
    <x v="2"/>
    <s v="Rice"/>
    <n v="5"/>
    <n v="32286"/>
    <n v="161430"/>
    <x v="2"/>
    <x v="0"/>
  </r>
  <r>
    <s v="INV-1065"/>
    <x v="7"/>
    <s v="Khan Store"/>
    <x v="2"/>
    <x v="2"/>
    <s v="Sugar"/>
    <n v="9"/>
    <n v="32072"/>
    <n v="288648"/>
    <x v="1"/>
    <x v="0"/>
  </r>
  <r>
    <s v="INV-1066"/>
    <x v="58"/>
    <s v="Ali Traders"/>
    <x v="1"/>
    <x v="2"/>
    <s v="Sugar"/>
    <n v="9"/>
    <n v="46192"/>
    <n v="415728"/>
    <x v="0"/>
    <x v="1"/>
  </r>
  <r>
    <s v="INV-1067"/>
    <x v="58"/>
    <s v="Zahid Electronics"/>
    <x v="1"/>
    <x v="0"/>
    <s v="Headphones"/>
    <n v="4"/>
    <n v="44706"/>
    <n v="178824"/>
    <x v="0"/>
    <x v="0"/>
  </r>
  <r>
    <s v="INV-1068"/>
    <x v="55"/>
    <s v="Usman Enterprises"/>
    <x v="1"/>
    <x v="1"/>
    <s v="Shirt"/>
    <n v="9"/>
    <n v="13337"/>
    <n v="120033"/>
    <x v="0"/>
    <x v="1"/>
  </r>
  <r>
    <s v="INV-1069"/>
    <x v="59"/>
    <s v="Usman Enterprises"/>
    <x v="1"/>
    <x v="2"/>
    <s v="Rice"/>
    <n v="10"/>
    <n v="40464"/>
    <n v="404640"/>
    <x v="3"/>
    <x v="1"/>
  </r>
  <r>
    <s v="INV-1070"/>
    <x v="60"/>
    <s v="Ali Traders"/>
    <x v="1"/>
    <x v="0"/>
    <s v="Mobile"/>
    <n v="5"/>
    <n v="37753"/>
    <n v="188765"/>
    <x v="0"/>
    <x v="2"/>
  </r>
  <r>
    <s v="INV-1071"/>
    <x v="61"/>
    <s v="Zahid Electronics"/>
    <x v="1"/>
    <x v="0"/>
    <s v="Mobile"/>
    <n v="15"/>
    <n v="22164"/>
    <n v="332460"/>
    <x v="3"/>
    <x v="0"/>
  </r>
  <r>
    <s v="INV-1072"/>
    <x v="62"/>
    <s v="Ali Traders"/>
    <x v="0"/>
    <x v="2"/>
    <s v="Rice"/>
    <n v="14"/>
    <n v="17836"/>
    <n v="249704"/>
    <x v="2"/>
    <x v="2"/>
  </r>
  <r>
    <s v="INV-1073"/>
    <x v="63"/>
    <s v="Khan Store"/>
    <x v="1"/>
    <x v="1"/>
    <s v="Jacket"/>
    <n v="3"/>
    <n v="3165"/>
    <n v="9495"/>
    <x v="2"/>
    <x v="1"/>
  </r>
  <r>
    <s v="INV-1074"/>
    <x v="64"/>
    <s v="Usman Enterprises"/>
    <x v="3"/>
    <x v="1"/>
    <s v="Jacket"/>
    <n v="2"/>
    <n v="7054"/>
    <n v="14108"/>
    <x v="2"/>
    <x v="1"/>
  </r>
  <r>
    <s v="INV-1075"/>
    <x v="65"/>
    <s v="Ahmed Mart"/>
    <x v="1"/>
    <x v="3"/>
    <s v="Pen"/>
    <n v="11"/>
    <n v="9270"/>
    <n v="101970"/>
    <x v="1"/>
    <x v="1"/>
  </r>
  <r>
    <s v="INV-1076"/>
    <x v="66"/>
    <s v="Zahid Electronics"/>
    <x v="2"/>
    <x v="1"/>
    <s v="Jeans"/>
    <n v="19"/>
    <n v="8831"/>
    <n v="167789"/>
    <x v="3"/>
    <x v="1"/>
  </r>
  <r>
    <s v="INV-1077"/>
    <x v="67"/>
    <s v="Ahmed Mart"/>
    <x v="3"/>
    <x v="1"/>
    <s v="Shirt"/>
    <n v="8"/>
    <n v="39435"/>
    <n v="315480"/>
    <x v="1"/>
    <x v="1"/>
  </r>
  <r>
    <s v="INV-1078"/>
    <x v="68"/>
    <s v="Zahid Electronics"/>
    <x v="0"/>
    <x v="3"/>
    <s v="Pen"/>
    <n v="18"/>
    <n v="25715"/>
    <n v="462870"/>
    <x v="0"/>
    <x v="0"/>
  </r>
  <r>
    <s v="INV-1079"/>
    <x v="69"/>
    <s v="Usman Enterprises"/>
    <x v="2"/>
    <x v="3"/>
    <s v="Marker"/>
    <n v="5"/>
    <n v="21032"/>
    <n v="105160"/>
    <x v="0"/>
    <x v="0"/>
  </r>
  <r>
    <s v="INV-1080"/>
    <x v="70"/>
    <s v="Khan Store"/>
    <x v="0"/>
    <x v="1"/>
    <s v="Shirt"/>
    <n v="4"/>
    <n v="5417"/>
    <n v="21668"/>
    <x v="3"/>
    <x v="2"/>
  </r>
  <r>
    <s v="INV-1081"/>
    <x v="71"/>
    <s v="Ahmed Mart"/>
    <x v="3"/>
    <x v="3"/>
    <s v="Notebook"/>
    <n v="9"/>
    <n v="26671"/>
    <n v="240039"/>
    <x v="3"/>
    <x v="2"/>
  </r>
  <r>
    <s v="INV-1082"/>
    <x v="72"/>
    <s v="Usman Enterprises"/>
    <x v="2"/>
    <x v="1"/>
    <s v="Shirt"/>
    <n v="6"/>
    <n v="37901"/>
    <n v="227406"/>
    <x v="0"/>
    <x v="1"/>
  </r>
  <r>
    <s v="INV-1083"/>
    <x v="69"/>
    <s v="Usman Enterprises"/>
    <x v="3"/>
    <x v="2"/>
    <s v="Sugar"/>
    <n v="3"/>
    <n v="27611"/>
    <n v="82833"/>
    <x v="0"/>
    <x v="2"/>
  </r>
  <r>
    <s v="INV-1084"/>
    <x v="73"/>
    <s v="Khan Store"/>
    <x v="2"/>
    <x v="1"/>
    <s v="Jeans"/>
    <n v="15"/>
    <n v="22194"/>
    <n v="332910"/>
    <x v="1"/>
    <x v="1"/>
  </r>
  <r>
    <s v="INV-1085"/>
    <x v="74"/>
    <s v="Khan Store"/>
    <x v="2"/>
    <x v="0"/>
    <s v="Mobile"/>
    <n v="3"/>
    <n v="29324"/>
    <n v="87972"/>
    <x v="1"/>
    <x v="0"/>
  </r>
  <r>
    <s v="INV-1086"/>
    <x v="75"/>
    <s v="Khan Store"/>
    <x v="0"/>
    <x v="1"/>
    <s v="Jeans"/>
    <n v="4"/>
    <n v="950"/>
    <n v="3800"/>
    <x v="0"/>
    <x v="0"/>
  </r>
  <r>
    <s v="INV-1087"/>
    <x v="32"/>
    <s v="Zahid Electronics"/>
    <x v="1"/>
    <x v="1"/>
    <s v="Jeans"/>
    <n v="11"/>
    <n v="32293"/>
    <n v="355223"/>
    <x v="2"/>
    <x v="0"/>
  </r>
  <r>
    <s v="INV-1088"/>
    <x v="73"/>
    <s v="Ali Traders"/>
    <x v="1"/>
    <x v="3"/>
    <s v="Marker"/>
    <n v="18"/>
    <n v="31227"/>
    <n v="562086"/>
    <x v="0"/>
    <x v="0"/>
  </r>
  <r>
    <s v="INV-1089"/>
    <x v="76"/>
    <s v="Ahmed Mart"/>
    <x v="3"/>
    <x v="1"/>
    <s v="Shirt"/>
    <n v="4"/>
    <n v="41939"/>
    <n v="167756"/>
    <x v="0"/>
    <x v="2"/>
  </r>
  <r>
    <s v="INV-1090"/>
    <x v="56"/>
    <s v="Ahmed Mart"/>
    <x v="2"/>
    <x v="2"/>
    <s v="Rice"/>
    <n v="8"/>
    <n v="39422"/>
    <n v="315376"/>
    <x v="1"/>
    <x v="0"/>
  </r>
  <r>
    <s v="INV-1091"/>
    <x v="29"/>
    <s v="Ali Traders"/>
    <x v="3"/>
    <x v="3"/>
    <s v="Notebook"/>
    <n v="12"/>
    <n v="13801"/>
    <n v="165612"/>
    <x v="0"/>
    <x v="0"/>
  </r>
  <r>
    <s v="INV-1092"/>
    <x v="77"/>
    <s v="Ahmed Mart"/>
    <x v="0"/>
    <x v="2"/>
    <s v="Oil"/>
    <n v="11"/>
    <n v="38266"/>
    <n v="420926"/>
    <x v="2"/>
    <x v="2"/>
  </r>
  <r>
    <s v="INV-1093"/>
    <x v="78"/>
    <s v="Ahmed Mart"/>
    <x v="3"/>
    <x v="3"/>
    <s v="Marker"/>
    <n v="15"/>
    <n v="30440"/>
    <n v="456600"/>
    <x v="2"/>
    <x v="0"/>
  </r>
  <r>
    <s v="INV-1094"/>
    <x v="79"/>
    <s v="Ali Traders"/>
    <x v="2"/>
    <x v="2"/>
    <s v="Oil"/>
    <n v="20"/>
    <n v="47527"/>
    <n v="950540"/>
    <x v="2"/>
    <x v="2"/>
  </r>
  <r>
    <s v="INV-1095"/>
    <x v="80"/>
    <s v="Usman Enterprises"/>
    <x v="2"/>
    <x v="2"/>
    <s v="Rice"/>
    <n v="5"/>
    <n v="11683"/>
    <n v="58415"/>
    <x v="2"/>
    <x v="2"/>
  </r>
  <r>
    <s v="INV-1096"/>
    <x v="5"/>
    <s v="Ahmed Mart"/>
    <x v="1"/>
    <x v="0"/>
    <s v="Laptop"/>
    <n v="13"/>
    <n v="7731"/>
    <n v="100503"/>
    <x v="0"/>
    <x v="1"/>
  </r>
  <r>
    <s v="INV-1097"/>
    <x v="15"/>
    <s v="Usman Enterprises"/>
    <x v="2"/>
    <x v="2"/>
    <s v="Sugar"/>
    <n v="12"/>
    <n v="49979"/>
    <n v="599748"/>
    <x v="1"/>
    <x v="0"/>
  </r>
  <r>
    <s v="INV-1098"/>
    <x v="81"/>
    <s v="Usman Enterprises"/>
    <x v="3"/>
    <x v="3"/>
    <s v="Marker"/>
    <n v="17"/>
    <n v="16384"/>
    <n v="278528"/>
    <x v="3"/>
    <x v="0"/>
  </r>
  <r>
    <s v="INV-1099"/>
    <x v="82"/>
    <s v="Ali Traders"/>
    <x v="0"/>
    <x v="3"/>
    <s v="Pen"/>
    <n v="9"/>
    <n v="30944"/>
    <n v="278496"/>
    <x v="3"/>
    <x v="1"/>
  </r>
  <r>
    <s v="INV-1100"/>
    <x v="83"/>
    <s v="Ahmed Mart"/>
    <x v="0"/>
    <x v="3"/>
    <s v="Marker"/>
    <n v="15"/>
    <n v="32522"/>
    <n v="487830"/>
    <x v="1"/>
    <x v="1"/>
  </r>
  <r>
    <s v="INV-1101"/>
    <x v="67"/>
    <s v="Khan Store"/>
    <x v="1"/>
    <x v="1"/>
    <s v="Shirt"/>
    <n v="4"/>
    <n v="17856"/>
    <n v="71424"/>
    <x v="3"/>
    <x v="1"/>
  </r>
  <r>
    <s v="INV-1102"/>
    <x v="84"/>
    <s v="Ahmed Mart"/>
    <x v="2"/>
    <x v="1"/>
    <s v="Jeans"/>
    <n v="5"/>
    <n v="21457"/>
    <n v="107285"/>
    <x v="1"/>
    <x v="1"/>
  </r>
  <r>
    <s v="INV-1103"/>
    <x v="85"/>
    <s v="Khan Store"/>
    <x v="1"/>
    <x v="1"/>
    <s v="Jacket"/>
    <n v="17"/>
    <n v="3054"/>
    <n v="51918"/>
    <x v="2"/>
    <x v="2"/>
  </r>
  <r>
    <s v="INV-1104"/>
    <x v="86"/>
    <s v="Ali Traders"/>
    <x v="0"/>
    <x v="3"/>
    <s v="Notebook"/>
    <n v="6"/>
    <n v="39393"/>
    <n v="236358"/>
    <x v="1"/>
    <x v="1"/>
  </r>
  <r>
    <s v="INV-1105"/>
    <x v="87"/>
    <s v="Khan Store"/>
    <x v="3"/>
    <x v="2"/>
    <s v="Oil"/>
    <n v="4"/>
    <n v="12830"/>
    <n v="51320"/>
    <x v="2"/>
    <x v="0"/>
  </r>
  <r>
    <s v="INV-1106"/>
    <x v="88"/>
    <s v="Ali Traders"/>
    <x v="1"/>
    <x v="1"/>
    <s v="Jacket"/>
    <n v="8"/>
    <n v="21734"/>
    <n v="173872"/>
    <x v="3"/>
    <x v="1"/>
  </r>
  <r>
    <s v="INV-1107"/>
    <x v="55"/>
    <s v="Zahid Electronics"/>
    <x v="1"/>
    <x v="3"/>
    <s v="Pen"/>
    <n v="14"/>
    <n v="44020"/>
    <n v="616280"/>
    <x v="0"/>
    <x v="2"/>
  </r>
  <r>
    <s v="INV-1108"/>
    <x v="89"/>
    <s v="Ali Traders"/>
    <x v="1"/>
    <x v="1"/>
    <s v="Shirt"/>
    <n v="18"/>
    <n v="7939"/>
    <n v="142902"/>
    <x v="2"/>
    <x v="1"/>
  </r>
  <r>
    <s v="INV-1109"/>
    <x v="27"/>
    <s v="Ali Traders"/>
    <x v="2"/>
    <x v="3"/>
    <s v="Pen"/>
    <n v="16"/>
    <n v="43168"/>
    <n v="690688"/>
    <x v="2"/>
    <x v="0"/>
  </r>
  <r>
    <s v="INV-1110"/>
    <x v="69"/>
    <s v="Ahmed Mart"/>
    <x v="0"/>
    <x v="2"/>
    <s v="Rice"/>
    <n v="6"/>
    <n v="38525"/>
    <n v="231150"/>
    <x v="1"/>
    <x v="1"/>
  </r>
  <r>
    <s v="INV-1111"/>
    <x v="90"/>
    <s v="Ahmed Mart"/>
    <x v="2"/>
    <x v="0"/>
    <s v="Laptop"/>
    <n v="17"/>
    <n v="34490"/>
    <n v="586330"/>
    <x v="3"/>
    <x v="2"/>
  </r>
  <r>
    <s v="INV-1112"/>
    <x v="91"/>
    <s v="Zahid Electronics"/>
    <x v="3"/>
    <x v="3"/>
    <s v="Marker"/>
    <n v="5"/>
    <n v="48647"/>
    <n v="243235"/>
    <x v="3"/>
    <x v="1"/>
  </r>
  <r>
    <s v="INV-1113"/>
    <x v="92"/>
    <s v="Zahid Electronics"/>
    <x v="0"/>
    <x v="0"/>
    <s v="Mobile"/>
    <n v="6"/>
    <n v="36830"/>
    <n v="220980"/>
    <x v="1"/>
    <x v="1"/>
  </r>
  <r>
    <s v="INV-1114"/>
    <x v="93"/>
    <s v="Ahmed Mart"/>
    <x v="3"/>
    <x v="0"/>
    <s v="Headphones"/>
    <n v="19"/>
    <n v="10422"/>
    <n v="198018"/>
    <x v="3"/>
    <x v="1"/>
  </r>
  <r>
    <s v="INV-1115"/>
    <x v="94"/>
    <s v="Usman Enterprises"/>
    <x v="3"/>
    <x v="3"/>
    <s v="Pen"/>
    <n v="15"/>
    <n v="4890"/>
    <n v="73350"/>
    <x v="3"/>
    <x v="2"/>
  </r>
  <r>
    <s v="INV-1116"/>
    <x v="95"/>
    <s v="Ali Traders"/>
    <x v="2"/>
    <x v="2"/>
    <s v="Oil"/>
    <n v="16"/>
    <n v="24372"/>
    <n v="389952"/>
    <x v="0"/>
    <x v="0"/>
  </r>
  <r>
    <s v="INV-1117"/>
    <x v="96"/>
    <s v="Usman Enterprises"/>
    <x v="0"/>
    <x v="1"/>
    <s v="Jeans"/>
    <n v="10"/>
    <n v="43888"/>
    <n v="438880"/>
    <x v="2"/>
    <x v="1"/>
  </r>
  <r>
    <s v="INV-1118"/>
    <x v="41"/>
    <s v="Ahmed Mart"/>
    <x v="2"/>
    <x v="1"/>
    <s v="Jeans"/>
    <n v="7"/>
    <n v="9447"/>
    <n v="66129"/>
    <x v="1"/>
    <x v="2"/>
  </r>
  <r>
    <s v="INV-1119"/>
    <x v="97"/>
    <s v="Usman Enterprises"/>
    <x v="0"/>
    <x v="2"/>
    <s v="Sugar"/>
    <n v="15"/>
    <n v="20154"/>
    <n v="302310"/>
    <x v="3"/>
    <x v="2"/>
  </r>
  <r>
    <s v="INV-1120"/>
    <x v="98"/>
    <s v="Ali Traders"/>
    <x v="2"/>
    <x v="3"/>
    <s v="Marker"/>
    <n v="6"/>
    <n v="42986"/>
    <n v="257916"/>
    <x v="0"/>
    <x v="0"/>
  </r>
  <r>
    <s v="INV-1121"/>
    <x v="99"/>
    <s v="Ahmed Mart"/>
    <x v="1"/>
    <x v="0"/>
    <s v="Mobile"/>
    <n v="3"/>
    <n v="12750"/>
    <n v="38250"/>
    <x v="1"/>
    <x v="1"/>
  </r>
  <r>
    <s v="INV-1122"/>
    <x v="100"/>
    <s v="Khan Store"/>
    <x v="1"/>
    <x v="3"/>
    <s v="Marker"/>
    <n v="11"/>
    <n v="33514"/>
    <n v="368654"/>
    <x v="3"/>
    <x v="0"/>
  </r>
  <r>
    <s v="INV-1123"/>
    <x v="88"/>
    <s v="Ahmed Mart"/>
    <x v="2"/>
    <x v="3"/>
    <s v="Pen"/>
    <n v="15"/>
    <n v="14397"/>
    <n v="215955"/>
    <x v="3"/>
    <x v="0"/>
  </r>
  <r>
    <s v="INV-1124"/>
    <x v="101"/>
    <s v="Khan Store"/>
    <x v="0"/>
    <x v="1"/>
    <s v="Jeans"/>
    <n v="13"/>
    <n v="28326"/>
    <n v="368238"/>
    <x v="1"/>
    <x v="0"/>
  </r>
  <r>
    <s v="INV-1125"/>
    <x v="86"/>
    <s v="Usman Enterprises"/>
    <x v="3"/>
    <x v="2"/>
    <s v="Sugar"/>
    <n v="15"/>
    <n v="42432"/>
    <n v="636480"/>
    <x v="2"/>
    <x v="1"/>
  </r>
  <r>
    <s v="INV-1126"/>
    <x v="102"/>
    <s v="Zahid Electronics"/>
    <x v="0"/>
    <x v="3"/>
    <s v="Marker"/>
    <n v="1"/>
    <n v="25233"/>
    <n v="25233"/>
    <x v="2"/>
    <x v="1"/>
  </r>
  <r>
    <s v="INV-1127"/>
    <x v="103"/>
    <s v="Ahmed Mart"/>
    <x v="0"/>
    <x v="3"/>
    <s v="Notebook"/>
    <n v="19"/>
    <n v="17594"/>
    <n v="334286"/>
    <x v="1"/>
    <x v="1"/>
  </r>
  <r>
    <s v="INV-1128"/>
    <x v="104"/>
    <s v="Khan Store"/>
    <x v="1"/>
    <x v="3"/>
    <s v="Pen"/>
    <n v="8"/>
    <n v="27733"/>
    <n v="221864"/>
    <x v="1"/>
    <x v="1"/>
  </r>
  <r>
    <s v="INV-1129"/>
    <x v="105"/>
    <s v="Ahmed Mart"/>
    <x v="1"/>
    <x v="1"/>
    <s v="Jeans"/>
    <n v="6"/>
    <n v="26036"/>
    <n v="156216"/>
    <x v="1"/>
    <x v="2"/>
  </r>
  <r>
    <s v="INV-1130"/>
    <x v="106"/>
    <s v="Ahmed Mart"/>
    <x v="2"/>
    <x v="3"/>
    <s v="Pen"/>
    <n v="9"/>
    <n v="40525"/>
    <n v="364725"/>
    <x v="3"/>
    <x v="1"/>
  </r>
  <r>
    <s v="INV-1131"/>
    <x v="107"/>
    <s v="Khan Store"/>
    <x v="0"/>
    <x v="3"/>
    <s v="Notebook"/>
    <n v="16"/>
    <n v="42644"/>
    <n v="682304"/>
    <x v="2"/>
    <x v="1"/>
  </r>
  <r>
    <s v="INV-1132"/>
    <x v="57"/>
    <s v="Zahid Electronics"/>
    <x v="2"/>
    <x v="1"/>
    <s v="Shirt"/>
    <n v="6"/>
    <n v="27041"/>
    <n v="162246"/>
    <x v="0"/>
    <x v="2"/>
  </r>
  <r>
    <s v="INV-1133"/>
    <x v="108"/>
    <s v="Ali Traders"/>
    <x v="2"/>
    <x v="0"/>
    <s v="Mobile"/>
    <n v="12"/>
    <n v="43591"/>
    <n v="523092"/>
    <x v="3"/>
    <x v="0"/>
  </r>
  <r>
    <s v="INV-1134"/>
    <x v="109"/>
    <s v="Ahmed Mart"/>
    <x v="2"/>
    <x v="2"/>
    <s v="Rice"/>
    <n v="18"/>
    <n v="25923"/>
    <n v="466614"/>
    <x v="3"/>
    <x v="1"/>
  </r>
  <r>
    <s v="INV-1135"/>
    <x v="103"/>
    <s v="Usman Enterprises"/>
    <x v="2"/>
    <x v="3"/>
    <s v="Notebook"/>
    <n v="1"/>
    <n v="35147"/>
    <n v="35147"/>
    <x v="2"/>
    <x v="2"/>
  </r>
  <r>
    <s v="INV-1136"/>
    <x v="110"/>
    <s v="Ali Traders"/>
    <x v="1"/>
    <x v="0"/>
    <s v="Mobile"/>
    <n v="18"/>
    <n v="34263"/>
    <n v="616734"/>
    <x v="0"/>
    <x v="2"/>
  </r>
  <r>
    <s v="INV-1137"/>
    <x v="111"/>
    <s v="Khan Store"/>
    <x v="2"/>
    <x v="1"/>
    <s v="Jeans"/>
    <n v="19"/>
    <n v="49928"/>
    <n v="948632"/>
    <x v="0"/>
    <x v="2"/>
  </r>
  <r>
    <s v="INV-1138"/>
    <x v="70"/>
    <s v="Usman Enterprises"/>
    <x v="1"/>
    <x v="0"/>
    <s v="Headphones"/>
    <n v="11"/>
    <n v="33435"/>
    <n v="367785"/>
    <x v="1"/>
    <x v="2"/>
  </r>
  <r>
    <s v="INV-1139"/>
    <x v="112"/>
    <s v="Usman Enterprises"/>
    <x v="1"/>
    <x v="1"/>
    <s v="Jeans"/>
    <n v="15"/>
    <n v="44796"/>
    <n v="671940"/>
    <x v="2"/>
    <x v="0"/>
  </r>
  <r>
    <s v="INV-1140"/>
    <x v="113"/>
    <s v="Khan Store"/>
    <x v="0"/>
    <x v="0"/>
    <s v="Laptop"/>
    <n v="12"/>
    <n v="12507"/>
    <n v="150084"/>
    <x v="3"/>
    <x v="1"/>
  </r>
  <r>
    <s v="INV-1141"/>
    <x v="114"/>
    <s v="Usman Enterprises"/>
    <x v="2"/>
    <x v="2"/>
    <s v="Sugar"/>
    <n v="2"/>
    <n v="18127"/>
    <n v="36254"/>
    <x v="3"/>
    <x v="0"/>
  </r>
  <r>
    <s v="INV-1142"/>
    <x v="115"/>
    <s v="Ahmed Mart"/>
    <x v="1"/>
    <x v="2"/>
    <s v="Oil"/>
    <n v="8"/>
    <n v="23094"/>
    <n v="184752"/>
    <x v="2"/>
    <x v="0"/>
  </r>
  <r>
    <s v="INV-1143"/>
    <x v="116"/>
    <s v="Khan Store"/>
    <x v="0"/>
    <x v="3"/>
    <s v="Marker"/>
    <n v="12"/>
    <n v="6113"/>
    <n v="73356"/>
    <x v="0"/>
    <x v="0"/>
  </r>
  <r>
    <s v="INV-1144"/>
    <x v="117"/>
    <s v="Zahid Electronics"/>
    <x v="3"/>
    <x v="2"/>
    <s v="Rice"/>
    <n v="4"/>
    <n v="24015"/>
    <n v="96060"/>
    <x v="2"/>
    <x v="1"/>
  </r>
  <r>
    <s v="INV-1145"/>
    <x v="118"/>
    <s v="Zahid Electronics"/>
    <x v="2"/>
    <x v="3"/>
    <s v="Marker"/>
    <n v="3"/>
    <n v="16276"/>
    <n v="48828"/>
    <x v="3"/>
    <x v="0"/>
  </r>
  <r>
    <s v="INV-1146"/>
    <x v="119"/>
    <s v="Ali Traders"/>
    <x v="0"/>
    <x v="1"/>
    <s v="Jacket"/>
    <n v="15"/>
    <n v="9513"/>
    <n v="142695"/>
    <x v="1"/>
    <x v="0"/>
  </r>
  <r>
    <s v="INV-1147"/>
    <x v="120"/>
    <s v="Khan Store"/>
    <x v="3"/>
    <x v="0"/>
    <s v="Laptop"/>
    <n v="9"/>
    <n v="2304"/>
    <n v="20736"/>
    <x v="1"/>
    <x v="1"/>
  </r>
  <r>
    <s v="INV-1148"/>
    <x v="121"/>
    <s v="Zahid Electronics"/>
    <x v="2"/>
    <x v="1"/>
    <s v="Shirt"/>
    <n v="15"/>
    <n v="29467"/>
    <n v="442005"/>
    <x v="1"/>
    <x v="2"/>
  </r>
  <r>
    <s v="INV-1149"/>
    <x v="122"/>
    <s v="Ali Traders"/>
    <x v="2"/>
    <x v="1"/>
    <s v="Jacket"/>
    <n v="13"/>
    <n v="46046"/>
    <n v="598598"/>
    <x v="0"/>
    <x v="2"/>
  </r>
  <r>
    <s v="INV-1150"/>
    <x v="123"/>
    <s v="Zahid Electronics"/>
    <x v="3"/>
    <x v="0"/>
    <s v="Laptop"/>
    <n v="7"/>
    <n v="25778"/>
    <n v="180446"/>
    <x v="1"/>
    <x v="0"/>
  </r>
  <r>
    <s v="INV-1151"/>
    <x v="124"/>
    <s v="Ahmed Mart"/>
    <x v="3"/>
    <x v="0"/>
    <s v="Mobile"/>
    <n v="19"/>
    <n v="23145"/>
    <n v="439755"/>
    <x v="0"/>
    <x v="1"/>
  </r>
  <r>
    <s v="INV-1152"/>
    <x v="125"/>
    <s v="Ahmed Mart"/>
    <x v="0"/>
    <x v="0"/>
    <s v="Laptop"/>
    <n v="12"/>
    <n v="30227"/>
    <n v="362724"/>
    <x v="0"/>
    <x v="0"/>
  </r>
  <r>
    <s v="INV-1153"/>
    <x v="126"/>
    <s v="Ahmed Mart"/>
    <x v="1"/>
    <x v="3"/>
    <s v="Pen"/>
    <n v="15"/>
    <n v="49758"/>
    <n v="746370"/>
    <x v="2"/>
    <x v="0"/>
  </r>
  <r>
    <s v="INV-1154"/>
    <x v="127"/>
    <s v="Usman Enterprises"/>
    <x v="2"/>
    <x v="1"/>
    <s v="Jeans"/>
    <n v="15"/>
    <n v="33933"/>
    <n v="508995"/>
    <x v="2"/>
    <x v="0"/>
  </r>
  <r>
    <s v="INV-1155"/>
    <x v="128"/>
    <s v="Zahid Electronics"/>
    <x v="1"/>
    <x v="0"/>
    <s v="Mobile"/>
    <n v="9"/>
    <n v="11033"/>
    <n v="99297"/>
    <x v="3"/>
    <x v="1"/>
  </r>
  <r>
    <s v="INV-1156"/>
    <x v="129"/>
    <s v="Usman Enterprises"/>
    <x v="1"/>
    <x v="2"/>
    <s v="Rice"/>
    <n v="17"/>
    <n v="42745"/>
    <n v="726665"/>
    <x v="2"/>
    <x v="1"/>
  </r>
  <r>
    <s v="INV-1157"/>
    <x v="30"/>
    <s v="Ahmed Mart"/>
    <x v="3"/>
    <x v="1"/>
    <s v="Shirt"/>
    <n v="2"/>
    <n v="1617"/>
    <n v="3234"/>
    <x v="2"/>
    <x v="2"/>
  </r>
  <r>
    <s v="INV-1158"/>
    <x v="79"/>
    <s v="Ahmed Mart"/>
    <x v="1"/>
    <x v="2"/>
    <s v="Sugar"/>
    <n v="20"/>
    <n v="31892"/>
    <n v="637840"/>
    <x v="1"/>
    <x v="0"/>
  </r>
  <r>
    <s v="INV-1159"/>
    <x v="73"/>
    <s v="Zahid Electronics"/>
    <x v="1"/>
    <x v="1"/>
    <s v="Jeans"/>
    <n v="5"/>
    <n v="19103"/>
    <n v="95515"/>
    <x v="1"/>
    <x v="0"/>
  </r>
  <r>
    <s v="INV-1160"/>
    <x v="130"/>
    <s v="Usman Enterprises"/>
    <x v="2"/>
    <x v="1"/>
    <s v="Jacket"/>
    <n v="6"/>
    <n v="17637"/>
    <n v="105822"/>
    <x v="1"/>
    <x v="2"/>
  </r>
  <r>
    <s v="INV-1161"/>
    <x v="131"/>
    <s v="Usman Enterprises"/>
    <x v="0"/>
    <x v="2"/>
    <s v="Sugar"/>
    <n v="1"/>
    <n v="6666"/>
    <n v="6666"/>
    <x v="0"/>
    <x v="0"/>
  </r>
  <r>
    <s v="INV-1162"/>
    <x v="132"/>
    <s v="Zahid Electronics"/>
    <x v="3"/>
    <x v="3"/>
    <s v="Marker"/>
    <n v="12"/>
    <n v="21857"/>
    <n v="262284"/>
    <x v="2"/>
    <x v="1"/>
  </r>
  <r>
    <s v="INV-1163"/>
    <x v="100"/>
    <s v="Zahid Electronics"/>
    <x v="1"/>
    <x v="2"/>
    <s v="Oil"/>
    <n v="3"/>
    <n v="20904"/>
    <n v="62712"/>
    <x v="1"/>
    <x v="1"/>
  </r>
  <r>
    <s v="INV-1164"/>
    <x v="6"/>
    <s v="Ali Traders"/>
    <x v="0"/>
    <x v="0"/>
    <s v="Laptop"/>
    <n v="13"/>
    <n v="22727"/>
    <n v="295451"/>
    <x v="0"/>
    <x v="2"/>
  </r>
  <r>
    <s v="INV-1165"/>
    <x v="133"/>
    <s v="Zahid Electronics"/>
    <x v="3"/>
    <x v="1"/>
    <s v="Jacket"/>
    <n v="12"/>
    <n v="10022"/>
    <n v="120264"/>
    <x v="2"/>
    <x v="2"/>
  </r>
  <r>
    <s v="INV-1166"/>
    <x v="134"/>
    <s v="Zahid Electronics"/>
    <x v="3"/>
    <x v="3"/>
    <s v="Pen"/>
    <n v="7"/>
    <n v="7764"/>
    <n v="54348"/>
    <x v="1"/>
    <x v="2"/>
  </r>
  <r>
    <s v="INV-1167"/>
    <x v="123"/>
    <s v="Ali Traders"/>
    <x v="2"/>
    <x v="3"/>
    <s v="Marker"/>
    <n v="8"/>
    <n v="12143"/>
    <n v="97144"/>
    <x v="2"/>
    <x v="1"/>
  </r>
  <r>
    <s v="INV-1168"/>
    <x v="135"/>
    <s v="Zahid Electronics"/>
    <x v="1"/>
    <x v="1"/>
    <s v="Shirt"/>
    <n v="4"/>
    <n v="32455"/>
    <n v="129820"/>
    <x v="1"/>
    <x v="1"/>
  </r>
  <r>
    <s v="INV-1169"/>
    <x v="136"/>
    <s v="Usman Enterprises"/>
    <x v="0"/>
    <x v="3"/>
    <s v="Pen"/>
    <n v="13"/>
    <n v="36447"/>
    <n v="473811"/>
    <x v="1"/>
    <x v="1"/>
  </r>
  <r>
    <s v="INV-1170"/>
    <x v="43"/>
    <s v="Usman Enterprises"/>
    <x v="3"/>
    <x v="3"/>
    <s v="Marker"/>
    <n v="20"/>
    <n v="26549"/>
    <n v="530980"/>
    <x v="2"/>
    <x v="2"/>
  </r>
  <r>
    <s v="INV-1171"/>
    <x v="137"/>
    <s v="Zahid Electronics"/>
    <x v="1"/>
    <x v="3"/>
    <s v="Notebook"/>
    <n v="18"/>
    <n v="39105"/>
    <n v="703890"/>
    <x v="2"/>
    <x v="1"/>
  </r>
  <r>
    <s v="INV-1172"/>
    <x v="138"/>
    <s v="Ahmed Mart"/>
    <x v="3"/>
    <x v="1"/>
    <s v="Shirt"/>
    <n v="10"/>
    <n v="43572"/>
    <n v="435720"/>
    <x v="0"/>
    <x v="0"/>
  </r>
  <r>
    <s v="INV-1173"/>
    <x v="123"/>
    <s v="Zahid Electronics"/>
    <x v="0"/>
    <x v="0"/>
    <s v="Mobile"/>
    <n v="9"/>
    <n v="43270"/>
    <n v="389430"/>
    <x v="3"/>
    <x v="0"/>
  </r>
  <r>
    <s v="INV-1174"/>
    <x v="114"/>
    <s v="Ahmed Mart"/>
    <x v="2"/>
    <x v="0"/>
    <s v="Mobile"/>
    <n v="11"/>
    <n v="35455"/>
    <n v="390005"/>
    <x v="0"/>
    <x v="2"/>
  </r>
  <r>
    <s v="INV-1175"/>
    <x v="139"/>
    <s v="Usman Enterprises"/>
    <x v="3"/>
    <x v="3"/>
    <s v="Notebook"/>
    <n v="5"/>
    <n v="13193"/>
    <n v="65965"/>
    <x v="1"/>
    <x v="0"/>
  </r>
  <r>
    <s v="INV-1176"/>
    <x v="27"/>
    <s v="Ali Traders"/>
    <x v="2"/>
    <x v="2"/>
    <s v="Sugar"/>
    <n v="9"/>
    <n v="42576"/>
    <n v="383184"/>
    <x v="3"/>
    <x v="0"/>
  </r>
  <r>
    <s v="INV-1177"/>
    <x v="140"/>
    <s v="Ali Traders"/>
    <x v="0"/>
    <x v="0"/>
    <s v="Headphones"/>
    <n v="5"/>
    <n v="9299"/>
    <n v="46495"/>
    <x v="3"/>
    <x v="2"/>
  </r>
  <r>
    <s v="INV-1178"/>
    <x v="141"/>
    <s v="Usman Enterprises"/>
    <x v="0"/>
    <x v="1"/>
    <s v="Jacket"/>
    <n v="14"/>
    <n v="41649"/>
    <n v="583086"/>
    <x v="0"/>
    <x v="2"/>
  </r>
  <r>
    <s v="INV-1179"/>
    <x v="40"/>
    <s v="Zahid Electronics"/>
    <x v="2"/>
    <x v="0"/>
    <s v="Laptop"/>
    <n v="11"/>
    <n v="46432"/>
    <n v="510752"/>
    <x v="1"/>
    <x v="2"/>
  </r>
  <r>
    <s v="INV-1180"/>
    <x v="142"/>
    <s v="Khan Store"/>
    <x v="2"/>
    <x v="0"/>
    <s v="Mobile"/>
    <n v="17"/>
    <n v="43628"/>
    <n v="741676"/>
    <x v="3"/>
    <x v="1"/>
  </r>
  <r>
    <s v="INV-1181"/>
    <x v="62"/>
    <s v="Ahmed Mart"/>
    <x v="1"/>
    <x v="3"/>
    <s v="Pen"/>
    <n v="15"/>
    <n v="30163"/>
    <n v="452445"/>
    <x v="2"/>
    <x v="1"/>
  </r>
  <r>
    <s v="INV-1182"/>
    <x v="143"/>
    <s v="Ahmed Mart"/>
    <x v="2"/>
    <x v="3"/>
    <s v="Pen"/>
    <n v="19"/>
    <n v="26783"/>
    <n v="508877"/>
    <x v="1"/>
    <x v="1"/>
  </r>
  <r>
    <s v="INV-1183"/>
    <x v="144"/>
    <s v="Zahid Electronics"/>
    <x v="2"/>
    <x v="3"/>
    <s v="Pen"/>
    <n v="18"/>
    <n v="42737"/>
    <n v="769266"/>
    <x v="2"/>
    <x v="2"/>
  </r>
  <r>
    <s v="INV-1184"/>
    <x v="145"/>
    <s v="Zahid Electronics"/>
    <x v="3"/>
    <x v="2"/>
    <s v="Oil"/>
    <n v="15"/>
    <n v="43779"/>
    <n v="656685"/>
    <x v="3"/>
    <x v="2"/>
  </r>
  <r>
    <s v="INV-1185"/>
    <x v="146"/>
    <s v="Usman Enterprises"/>
    <x v="1"/>
    <x v="3"/>
    <s v="Pen"/>
    <n v="16"/>
    <n v="29655"/>
    <n v="474480"/>
    <x v="2"/>
    <x v="1"/>
  </r>
  <r>
    <s v="INV-1186"/>
    <x v="13"/>
    <s v="Ali Traders"/>
    <x v="3"/>
    <x v="3"/>
    <s v="Notebook"/>
    <n v="12"/>
    <n v="24230"/>
    <n v="290760"/>
    <x v="0"/>
    <x v="0"/>
  </r>
  <r>
    <s v="INV-1187"/>
    <x v="147"/>
    <s v="Zahid Electronics"/>
    <x v="3"/>
    <x v="1"/>
    <s v="Shirt"/>
    <n v="20"/>
    <n v="7784"/>
    <n v="155680"/>
    <x v="0"/>
    <x v="0"/>
  </r>
  <r>
    <s v="INV-1188"/>
    <x v="148"/>
    <s v="Khan Store"/>
    <x v="2"/>
    <x v="3"/>
    <s v="Notebook"/>
    <n v="16"/>
    <n v="29790"/>
    <n v="476640"/>
    <x v="1"/>
    <x v="0"/>
  </r>
  <r>
    <s v="INV-1189"/>
    <x v="149"/>
    <s v="Usman Enterprises"/>
    <x v="0"/>
    <x v="2"/>
    <s v="Sugar"/>
    <n v="12"/>
    <n v="30480"/>
    <n v="365760"/>
    <x v="3"/>
    <x v="0"/>
  </r>
  <r>
    <s v="INV-1190"/>
    <x v="46"/>
    <s v="Usman Enterprises"/>
    <x v="0"/>
    <x v="1"/>
    <s v="Jacket"/>
    <n v="3"/>
    <n v="48333"/>
    <n v="144999"/>
    <x v="0"/>
    <x v="0"/>
  </r>
  <r>
    <s v="INV-1191"/>
    <x v="150"/>
    <s v="Khan Store"/>
    <x v="3"/>
    <x v="1"/>
    <s v="Jeans"/>
    <n v="13"/>
    <n v="36932"/>
    <n v="480116"/>
    <x v="0"/>
    <x v="2"/>
  </r>
  <r>
    <s v="INV-1192"/>
    <x v="151"/>
    <s v="Khan Store"/>
    <x v="1"/>
    <x v="3"/>
    <s v="Notebook"/>
    <n v="14"/>
    <n v="48528"/>
    <n v="679392"/>
    <x v="1"/>
    <x v="0"/>
  </r>
  <r>
    <s v="INV-1193"/>
    <x v="152"/>
    <s v="Ali Traders"/>
    <x v="0"/>
    <x v="2"/>
    <s v="Oil"/>
    <n v="4"/>
    <n v="43442"/>
    <n v="173768"/>
    <x v="2"/>
    <x v="0"/>
  </r>
  <r>
    <s v="INV-1194"/>
    <x v="153"/>
    <s v="Zahid Electronics"/>
    <x v="1"/>
    <x v="1"/>
    <s v="Jeans"/>
    <n v="12"/>
    <n v="25575"/>
    <n v="306900"/>
    <x v="0"/>
    <x v="1"/>
  </r>
  <r>
    <s v="INV-1195"/>
    <x v="154"/>
    <s v="Ahmed Mart"/>
    <x v="3"/>
    <x v="3"/>
    <s v="Pen"/>
    <n v="7"/>
    <n v="8544"/>
    <n v="59808"/>
    <x v="3"/>
    <x v="1"/>
  </r>
  <r>
    <s v="INV-1196"/>
    <x v="122"/>
    <s v="Ahmed Mart"/>
    <x v="1"/>
    <x v="1"/>
    <s v="Shirt"/>
    <n v="18"/>
    <n v="45030"/>
    <n v="810540"/>
    <x v="2"/>
    <x v="2"/>
  </r>
  <r>
    <s v="INV-1197"/>
    <x v="155"/>
    <s v="Zahid Electronics"/>
    <x v="3"/>
    <x v="3"/>
    <s v="Pen"/>
    <n v="7"/>
    <n v="25276"/>
    <n v="176932"/>
    <x v="2"/>
    <x v="0"/>
  </r>
  <r>
    <s v="INV-1198"/>
    <x v="156"/>
    <s v="Khan Store"/>
    <x v="1"/>
    <x v="2"/>
    <s v="Sugar"/>
    <n v="13"/>
    <n v="42369"/>
    <n v="550797"/>
    <x v="0"/>
    <x v="1"/>
  </r>
  <r>
    <s v="INV-1199"/>
    <x v="157"/>
    <s v="Usman Enterprises"/>
    <x v="0"/>
    <x v="3"/>
    <s v="Marker"/>
    <n v="9"/>
    <n v="48566"/>
    <n v="437094"/>
    <x v="0"/>
    <x v="2"/>
  </r>
  <r>
    <s v="INV-1200"/>
    <x v="158"/>
    <s v="Ahmed Mart"/>
    <x v="3"/>
    <x v="0"/>
    <s v="Laptop"/>
    <n v="3"/>
    <n v="16534"/>
    <n v="49602"/>
    <x v="0"/>
    <x v="0"/>
  </r>
  <r>
    <s v="INV-1201"/>
    <x v="159"/>
    <s v="Ali Traders"/>
    <x v="3"/>
    <x v="3"/>
    <s v="Notebook"/>
    <n v="16"/>
    <n v="37063"/>
    <n v="593008"/>
    <x v="3"/>
    <x v="0"/>
  </r>
  <r>
    <s v="INV-1202"/>
    <x v="156"/>
    <s v="Khan Store"/>
    <x v="3"/>
    <x v="3"/>
    <s v="Pen"/>
    <n v="8"/>
    <n v="18155"/>
    <n v="145240"/>
    <x v="3"/>
    <x v="0"/>
  </r>
  <r>
    <s v="INV-1203"/>
    <x v="149"/>
    <s v="Ali Traders"/>
    <x v="0"/>
    <x v="3"/>
    <s v="Marker"/>
    <n v="20"/>
    <n v="38638"/>
    <n v="772760"/>
    <x v="2"/>
    <x v="2"/>
  </r>
  <r>
    <s v="INV-1204"/>
    <x v="9"/>
    <s v="Ahmed Mart"/>
    <x v="0"/>
    <x v="1"/>
    <s v="Jeans"/>
    <n v="3"/>
    <n v="21396"/>
    <n v="64188"/>
    <x v="3"/>
    <x v="0"/>
  </r>
  <r>
    <s v="INV-1205"/>
    <x v="65"/>
    <s v="Khan Store"/>
    <x v="1"/>
    <x v="0"/>
    <s v="Headphones"/>
    <n v="11"/>
    <n v="40417"/>
    <n v="444587"/>
    <x v="3"/>
    <x v="0"/>
  </r>
  <r>
    <s v="INV-1206"/>
    <x v="160"/>
    <s v="Ahmed Mart"/>
    <x v="3"/>
    <x v="1"/>
    <s v="Jeans"/>
    <n v="1"/>
    <n v="46579"/>
    <n v="46579"/>
    <x v="1"/>
    <x v="2"/>
  </r>
  <r>
    <s v="INV-1207"/>
    <x v="161"/>
    <s v="Ali Traders"/>
    <x v="3"/>
    <x v="1"/>
    <s v="Jeans"/>
    <n v="12"/>
    <n v="3647"/>
    <n v="43764"/>
    <x v="1"/>
    <x v="2"/>
  </r>
  <r>
    <s v="INV-1208"/>
    <x v="162"/>
    <s v="Khan Store"/>
    <x v="0"/>
    <x v="1"/>
    <s v="Jeans"/>
    <n v="14"/>
    <n v="38782"/>
    <n v="542948"/>
    <x v="1"/>
    <x v="1"/>
  </r>
  <r>
    <s v="INV-1209"/>
    <x v="163"/>
    <s v="Khan Store"/>
    <x v="3"/>
    <x v="0"/>
    <s v="Headphones"/>
    <n v="2"/>
    <n v="20918"/>
    <n v="41836"/>
    <x v="3"/>
    <x v="0"/>
  </r>
  <r>
    <s v="INV-1210"/>
    <x v="164"/>
    <s v="Zahid Electronics"/>
    <x v="0"/>
    <x v="0"/>
    <s v="Laptop"/>
    <n v="3"/>
    <n v="15611"/>
    <n v="46833"/>
    <x v="1"/>
    <x v="2"/>
  </r>
  <r>
    <s v="INV-1211"/>
    <x v="2"/>
    <s v="Zahid Electronics"/>
    <x v="1"/>
    <x v="1"/>
    <s v="Jacket"/>
    <n v="4"/>
    <n v="27233"/>
    <n v="108932"/>
    <x v="0"/>
    <x v="1"/>
  </r>
  <r>
    <s v="INV-1212"/>
    <x v="1"/>
    <s v="Usman Enterprises"/>
    <x v="0"/>
    <x v="3"/>
    <s v="Notebook"/>
    <n v="6"/>
    <n v="33182"/>
    <n v="199092"/>
    <x v="1"/>
    <x v="0"/>
  </r>
  <r>
    <s v="INV-1213"/>
    <x v="165"/>
    <s v="Ahmed Mart"/>
    <x v="3"/>
    <x v="0"/>
    <s v="Laptop"/>
    <n v="4"/>
    <n v="18821"/>
    <n v="75284"/>
    <x v="3"/>
    <x v="1"/>
  </r>
  <r>
    <s v="INV-1214"/>
    <x v="56"/>
    <s v="Khan Store"/>
    <x v="1"/>
    <x v="1"/>
    <s v="Shirt"/>
    <n v="1"/>
    <n v="17911"/>
    <n v="17911"/>
    <x v="3"/>
    <x v="1"/>
  </r>
  <r>
    <s v="INV-1215"/>
    <x v="166"/>
    <s v="Ali Traders"/>
    <x v="3"/>
    <x v="1"/>
    <s v="Jacket"/>
    <n v="5"/>
    <n v="3805"/>
    <n v="19025"/>
    <x v="1"/>
    <x v="1"/>
  </r>
  <r>
    <s v="INV-1216"/>
    <x v="167"/>
    <s v="Ahmed Mart"/>
    <x v="0"/>
    <x v="0"/>
    <s v="Mobile"/>
    <n v="1"/>
    <n v="45410"/>
    <n v="45410"/>
    <x v="1"/>
    <x v="1"/>
  </r>
  <r>
    <s v="INV-1217"/>
    <x v="168"/>
    <s v="Ahmed Mart"/>
    <x v="1"/>
    <x v="0"/>
    <s v="Laptop"/>
    <n v="15"/>
    <n v="49671"/>
    <n v="745065"/>
    <x v="0"/>
    <x v="1"/>
  </r>
  <r>
    <s v="INV-1218"/>
    <x v="169"/>
    <s v="Usman Enterprises"/>
    <x v="1"/>
    <x v="1"/>
    <s v="Shirt"/>
    <n v="10"/>
    <n v="14060"/>
    <n v="140600"/>
    <x v="2"/>
    <x v="2"/>
  </r>
  <r>
    <s v="INV-1219"/>
    <x v="170"/>
    <s v="Khan Store"/>
    <x v="1"/>
    <x v="3"/>
    <s v="Marker"/>
    <n v="19"/>
    <n v="4767"/>
    <n v="90573"/>
    <x v="1"/>
    <x v="2"/>
  </r>
  <r>
    <s v="INV-1220"/>
    <x v="171"/>
    <s v="Ali Traders"/>
    <x v="2"/>
    <x v="0"/>
    <s v="Headphones"/>
    <n v="13"/>
    <n v="44797"/>
    <n v="582361"/>
    <x v="1"/>
    <x v="0"/>
  </r>
  <r>
    <s v="INV-1221"/>
    <x v="172"/>
    <s v="Khan Store"/>
    <x v="2"/>
    <x v="0"/>
    <s v="Headphones"/>
    <n v="17"/>
    <n v="34705"/>
    <n v="589985"/>
    <x v="2"/>
    <x v="0"/>
  </r>
  <r>
    <s v="INV-1222"/>
    <x v="173"/>
    <s v="Ahmed Mart"/>
    <x v="3"/>
    <x v="0"/>
    <s v="Headphones"/>
    <n v="12"/>
    <n v="23866"/>
    <n v="286392"/>
    <x v="3"/>
    <x v="2"/>
  </r>
  <r>
    <s v="INV-1223"/>
    <x v="174"/>
    <s v="Zahid Electronics"/>
    <x v="3"/>
    <x v="3"/>
    <s v="Pen"/>
    <n v="15"/>
    <n v="41645"/>
    <n v="624675"/>
    <x v="0"/>
    <x v="0"/>
  </r>
  <r>
    <s v="INV-1224"/>
    <x v="175"/>
    <s v="Zahid Electronics"/>
    <x v="3"/>
    <x v="3"/>
    <s v="Notebook"/>
    <n v="2"/>
    <n v="21804"/>
    <n v="43608"/>
    <x v="2"/>
    <x v="0"/>
  </r>
  <r>
    <s v="INV-1225"/>
    <x v="176"/>
    <s v="Khan Store"/>
    <x v="3"/>
    <x v="1"/>
    <s v="Jeans"/>
    <n v="13"/>
    <n v="40711"/>
    <n v="529243"/>
    <x v="2"/>
    <x v="2"/>
  </r>
  <r>
    <s v="INV-1226"/>
    <x v="105"/>
    <s v="Khan Store"/>
    <x v="0"/>
    <x v="1"/>
    <s v="Jacket"/>
    <n v="5"/>
    <n v="1167"/>
    <n v="5835"/>
    <x v="1"/>
    <x v="2"/>
  </r>
  <r>
    <s v="INV-1227"/>
    <x v="125"/>
    <s v="Khan Store"/>
    <x v="0"/>
    <x v="3"/>
    <s v="Pen"/>
    <n v="16"/>
    <n v="21361"/>
    <n v="341776"/>
    <x v="0"/>
    <x v="1"/>
  </r>
  <r>
    <s v="INV-1228"/>
    <x v="172"/>
    <s v="Zahid Electronics"/>
    <x v="3"/>
    <x v="3"/>
    <s v="Pen"/>
    <n v="20"/>
    <n v="29244"/>
    <n v="584880"/>
    <x v="2"/>
    <x v="0"/>
  </r>
  <r>
    <s v="INV-1229"/>
    <x v="18"/>
    <s v="Zahid Electronics"/>
    <x v="2"/>
    <x v="1"/>
    <s v="Shirt"/>
    <n v="9"/>
    <n v="33350"/>
    <n v="300150"/>
    <x v="0"/>
    <x v="2"/>
  </r>
  <r>
    <s v="INV-1230"/>
    <x v="177"/>
    <s v="Khan Store"/>
    <x v="1"/>
    <x v="1"/>
    <s v="Jeans"/>
    <n v="9"/>
    <n v="30914"/>
    <n v="278226"/>
    <x v="0"/>
    <x v="0"/>
  </r>
  <r>
    <s v="INV-1231"/>
    <x v="178"/>
    <s v="Ahmed Mart"/>
    <x v="2"/>
    <x v="1"/>
    <s v="Shirt"/>
    <n v="1"/>
    <n v="32761"/>
    <n v="32761"/>
    <x v="0"/>
    <x v="2"/>
  </r>
  <r>
    <s v="INV-1232"/>
    <x v="179"/>
    <s v="Ali Traders"/>
    <x v="2"/>
    <x v="3"/>
    <s v="Notebook"/>
    <n v="18"/>
    <n v="27397"/>
    <n v="493146"/>
    <x v="3"/>
    <x v="0"/>
  </r>
  <r>
    <s v="INV-1233"/>
    <x v="180"/>
    <s v="Khan Store"/>
    <x v="2"/>
    <x v="3"/>
    <s v="Pen"/>
    <n v="11"/>
    <n v="39317"/>
    <n v="432487"/>
    <x v="2"/>
    <x v="1"/>
  </r>
  <r>
    <s v="INV-1234"/>
    <x v="133"/>
    <s v="Ahmed Mart"/>
    <x v="1"/>
    <x v="2"/>
    <s v="Sugar"/>
    <n v="6"/>
    <n v="44749"/>
    <n v="268494"/>
    <x v="0"/>
    <x v="1"/>
  </r>
  <r>
    <s v="INV-1235"/>
    <x v="134"/>
    <s v="Khan Store"/>
    <x v="1"/>
    <x v="1"/>
    <s v="Jacket"/>
    <n v="15"/>
    <n v="14848"/>
    <n v="222720"/>
    <x v="2"/>
    <x v="0"/>
  </r>
  <r>
    <s v="INV-1236"/>
    <x v="181"/>
    <s v="Ali Traders"/>
    <x v="0"/>
    <x v="0"/>
    <s v="Mobile"/>
    <n v="7"/>
    <n v="21343"/>
    <n v="149401"/>
    <x v="1"/>
    <x v="0"/>
  </r>
  <r>
    <s v="INV-1237"/>
    <x v="93"/>
    <s v="Usman Enterprises"/>
    <x v="0"/>
    <x v="0"/>
    <s v="Headphones"/>
    <n v="17"/>
    <n v="44279"/>
    <n v="752743"/>
    <x v="3"/>
    <x v="2"/>
  </r>
  <r>
    <s v="INV-1238"/>
    <x v="182"/>
    <s v="Khan Store"/>
    <x v="1"/>
    <x v="2"/>
    <s v="Sugar"/>
    <n v="16"/>
    <n v="2956"/>
    <n v="47296"/>
    <x v="2"/>
    <x v="1"/>
  </r>
  <r>
    <s v="INV-1239"/>
    <x v="121"/>
    <s v="Ahmed Mart"/>
    <x v="1"/>
    <x v="0"/>
    <s v="Mobile"/>
    <n v="17"/>
    <n v="31162"/>
    <n v="529754"/>
    <x v="3"/>
    <x v="0"/>
  </r>
  <r>
    <s v="INV-1240"/>
    <x v="110"/>
    <s v="Zahid Electronics"/>
    <x v="1"/>
    <x v="0"/>
    <s v="Headphones"/>
    <n v="5"/>
    <n v="27427"/>
    <n v="137135"/>
    <x v="2"/>
    <x v="0"/>
  </r>
  <r>
    <s v="INV-1241"/>
    <x v="183"/>
    <s v="Ali Traders"/>
    <x v="2"/>
    <x v="2"/>
    <s v="Sugar"/>
    <n v="11"/>
    <n v="34607"/>
    <n v="380677"/>
    <x v="2"/>
    <x v="1"/>
  </r>
  <r>
    <s v="INV-1242"/>
    <x v="10"/>
    <s v="Ali Traders"/>
    <x v="1"/>
    <x v="1"/>
    <s v="Shirt"/>
    <n v="2"/>
    <n v="45746"/>
    <n v="91492"/>
    <x v="2"/>
    <x v="0"/>
  </r>
  <r>
    <s v="INV-1243"/>
    <x v="38"/>
    <s v="Ahmed Mart"/>
    <x v="1"/>
    <x v="1"/>
    <s v="Jeans"/>
    <n v="7"/>
    <n v="48085"/>
    <n v="336595"/>
    <x v="2"/>
    <x v="2"/>
  </r>
  <r>
    <s v="INV-1244"/>
    <x v="184"/>
    <s v="Usman Enterprises"/>
    <x v="3"/>
    <x v="2"/>
    <s v="Oil"/>
    <n v="13"/>
    <n v="41246"/>
    <n v="536198"/>
    <x v="0"/>
    <x v="0"/>
  </r>
  <r>
    <s v="INV-1245"/>
    <x v="185"/>
    <s v="Usman Enterprises"/>
    <x v="1"/>
    <x v="3"/>
    <s v="Notebook"/>
    <n v="6"/>
    <n v="40358"/>
    <n v="242148"/>
    <x v="2"/>
    <x v="1"/>
  </r>
  <r>
    <s v="INV-1246"/>
    <x v="186"/>
    <s v="Zahid Electronics"/>
    <x v="3"/>
    <x v="3"/>
    <s v="Marker"/>
    <n v="18"/>
    <n v="36484"/>
    <n v="656712"/>
    <x v="0"/>
    <x v="1"/>
  </r>
  <r>
    <s v="INV-1247"/>
    <x v="187"/>
    <s v="Zahid Electronics"/>
    <x v="2"/>
    <x v="0"/>
    <s v="Headphones"/>
    <n v="5"/>
    <n v="21789"/>
    <n v="108945"/>
    <x v="2"/>
    <x v="0"/>
  </r>
  <r>
    <s v="INV-1248"/>
    <x v="188"/>
    <s v="Usman Enterprises"/>
    <x v="3"/>
    <x v="3"/>
    <s v="Marker"/>
    <n v="18"/>
    <n v="4851"/>
    <n v="87318"/>
    <x v="2"/>
    <x v="0"/>
  </r>
  <r>
    <s v="INV-1249"/>
    <x v="177"/>
    <s v="Zahid Electronics"/>
    <x v="2"/>
    <x v="0"/>
    <s v="Mobile"/>
    <n v="1"/>
    <n v="8039"/>
    <n v="8039"/>
    <x v="0"/>
    <x v="1"/>
  </r>
  <r>
    <s v="INV-1250"/>
    <x v="84"/>
    <s v="Khan Store"/>
    <x v="3"/>
    <x v="0"/>
    <s v="Headphones"/>
    <n v="19"/>
    <n v="26171"/>
    <n v="497249"/>
    <x v="2"/>
    <x v="2"/>
  </r>
  <r>
    <s v="INV-1251"/>
    <x v="189"/>
    <s v="Ali Traders"/>
    <x v="1"/>
    <x v="1"/>
    <s v="Jeans"/>
    <n v="13"/>
    <n v="10159"/>
    <n v="132067"/>
    <x v="2"/>
    <x v="1"/>
  </r>
  <r>
    <s v="INV-1252"/>
    <x v="190"/>
    <s v="Khan Store"/>
    <x v="0"/>
    <x v="1"/>
    <s v="Jeans"/>
    <n v="16"/>
    <n v="9684"/>
    <n v="154944"/>
    <x v="2"/>
    <x v="2"/>
  </r>
  <r>
    <s v="INV-1253"/>
    <x v="191"/>
    <s v="Ahmed Mart"/>
    <x v="3"/>
    <x v="3"/>
    <s v="Pen"/>
    <n v="3"/>
    <n v="45169"/>
    <n v="135507"/>
    <x v="3"/>
    <x v="2"/>
  </r>
  <r>
    <s v="INV-1254"/>
    <x v="189"/>
    <s v="Khan Store"/>
    <x v="1"/>
    <x v="2"/>
    <s v="Sugar"/>
    <n v="18"/>
    <n v="16580"/>
    <n v="298440"/>
    <x v="3"/>
    <x v="0"/>
  </r>
  <r>
    <s v="INV-1255"/>
    <x v="192"/>
    <s v="Usman Enterprises"/>
    <x v="0"/>
    <x v="3"/>
    <s v="Marker"/>
    <n v="20"/>
    <n v="4926"/>
    <n v="98520"/>
    <x v="0"/>
    <x v="0"/>
  </r>
  <r>
    <s v="INV-1256"/>
    <x v="168"/>
    <s v="Usman Enterprises"/>
    <x v="2"/>
    <x v="2"/>
    <s v="Oil"/>
    <n v="9"/>
    <n v="44059"/>
    <n v="396531"/>
    <x v="3"/>
    <x v="1"/>
  </r>
  <r>
    <s v="INV-1257"/>
    <x v="193"/>
    <s v="Ahmed Mart"/>
    <x v="0"/>
    <x v="3"/>
    <s v="Pen"/>
    <n v="2"/>
    <n v="19540"/>
    <n v="39080"/>
    <x v="0"/>
    <x v="0"/>
  </r>
  <r>
    <s v="INV-1258"/>
    <x v="194"/>
    <s v="Usman Enterprises"/>
    <x v="1"/>
    <x v="3"/>
    <s v="Pen"/>
    <n v="20"/>
    <n v="47300"/>
    <n v="946000"/>
    <x v="2"/>
    <x v="1"/>
  </r>
  <r>
    <s v="INV-1259"/>
    <x v="107"/>
    <s v="Usman Enterprises"/>
    <x v="3"/>
    <x v="2"/>
    <s v="Sugar"/>
    <n v="11"/>
    <n v="9389"/>
    <n v="103279"/>
    <x v="0"/>
    <x v="0"/>
  </r>
  <r>
    <s v="INV-1260"/>
    <x v="41"/>
    <s v="Zahid Electronics"/>
    <x v="3"/>
    <x v="3"/>
    <s v="Pen"/>
    <n v="9"/>
    <n v="3705"/>
    <n v="33345"/>
    <x v="2"/>
    <x v="1"/>
  </r>
  <r>
    <s v="INV-1261"/>
    <x v="137"/>
    <s v="Ali Traders"/>
    <x v="0"/>
    <x v="1"/>
    <s v="Shirt"/>
    <n v="17"/>
    <n v="16900"/>
    <n v="287300"/>
    <x v="3"/>
    <x v="2"/>
  </r>
  <r>
    <s v="INV-1262"/>
    <x v="69"/>
    <s v="Ahmed Mart"/>
    <x v="3"/>
    <x v="1"/>
    <s v="Jeans"/>
    <n v="10"/>
    <n v="6503"/>
    <n v="65030"/>
    <x v="1"/>
    <x v="2"/>
  </r>
  <r>
    <s v="INV-1263"/>
    <x v="136"/>
    <s v="Ahmed Mart"/>
    <x v="0"/>
    <x v="1"/>
    <s v="Shirt"/>
    <n v="2"/>
    <n v="4549"/>
    <n v="9098"/>
    <x v="0"/>
    <x v="2"/>
  </r>
  <r>
    <s v="INV-1264"/>
    <x v="195"/>
    <s v="Zahid Electronics"/>
    <x v="2"/>
    <x v="0"/>
    <s v="Mobile"/>
    <n v="2"/>
    <n v="20402"/>
    <n v="40804"/>
    <x v="3"/>
    <x v="1"/>
  </r>
  <r>
    <s v="INV-1265"/>
    <x v="196"/>
    <s v="Ali Traders"/>
    <x v="2"/>
    <x v="3"/>
    <s v="Notebook"/>
    <n v="10"/>
    <n v="30549"/>
    <n v="305490"/>
    <x v="3"/>
    <x v="1"/>
  </r>
  <r>
    <s v="INV-1266"/>
    <x v="197"/>
    <s v="Usman Enterprises"/>
    <x v="0"/>
    <x v="2"/>
    <s v="Oil"/>
    <n v="14"/>
    <n v="27992"/>
    <n v="391888"/>
    <x v="1"/>
    <x v="0"/>
  </r>
  <r>
    <s v="INV-1267"/>
    <x v="198"/>
    <s v="Usman Enterprises"/>
    <x v="1"/>
    <x v="1"/>
    <s v="Jacket"/>
    <n v="8"/>
    <n v="21643"/>
    <n v="173144"/>
    <x v="1"/>
    <x v="1"/>
  </r>
  <r>
    <s v="INV-1268"/>
    <x v="199"/>
    <s v="Ali Traders"/>
    <x v="3"/>
    <x v="3"/>
    <s v="Pen"/>
    <n v="3"/>
    <n v="19074"/>
    <n v="57222"/>
    <x v="1"/>
    <x v="2"/>
  </r>
  <r>
    <s v="INV-1269"/>
    <x v="200"/>
    <s v="Usman Enterprises"/>
    <x v="2"/>
    <x v="1"/>
    <s v="Shirt"/>
    <n v="15"/>
    <n v="39740"/>
    <n v="596100"/>
    <x v="3"/>
    <x v="2"/>
  </r>
  <r>
    <s v="INV-1270"/>
    <x v="191"/>
    <s v="Zahid Electronics"/>
    <x v="1"/>
    <x v="2"/>
    <s v="Oil"/>
    <n v="20"/>
    <n v="21774"/>
    <n v="435480"/>
    <x v="2"/>
    <x v="2"/>
  </r>
  <r>
    <s v="INV-1271"/>
    <x v="169"/>
    <s v="Khan Store"/>
    <x v="1"/>
    <x v="3"/>
    <s v="Notebook"/>
    <n v="15"/>
    <n v="12707"/>
    <n v="190605"/>
    <x v="2"/>
    <x v="2"/>
  </r>
  <r>
    <s v="INV-1272"/>
    <x v="18"/>
    <s v="Zahid Electronics"/>
    <x v="3"/>
    <x v="0"/>
    <s v="Mobile"/>
    <n v="5"/>
    <n v="42946"/>
    <n v="214730"/>
    <x v="0"/>
    <x v="2"/>
  </r>
  <r>
    <s v="INV-1273"/>
    <x v="201"/>
    <s v="Khan Store"/>
    <x v="0"/>
    <x v="2"/>
    <s v="Sugar"/>
    <n v="10"/>
    <n v="19275"/>
    <n v="192750"/>
    <x v="3"/>
    <x v="2"/>
  </r>
  <r>
    <s v="INV-1274"/>
    <x v="117"/>
    <s v="Khan Store"/>
    <x v="3"/>
    <x v="3"/>
    <s v="Marker"/>
    <n v="14"/>
    <n v="22824"/>
    <n v="319536"/>
    <x v="3"/>
    <x v="1"/>
  </r>
  <r>
    <s v="INV-1275"/>
    <x v="172"/>
    <s v="Ali Traders"/>
    <x v="0"/>
    <x v="1"/>
    <s v="Jacket"/>
    <n v="12"/>
    <n v="28623"/>
    <n v="343476"/>
    <x v="1"/>
    <x v="2"/>
  </r>
  <r>
    <s v="INV-1276"/>
    <x v="15"/>
    <s v="Ali Traders"/>
    <x v="0"/>
    <x v="2"/>
    <s v="Sugar"/>
    <n v="15"/>
    <n v="19808"/>
    <n v="297120"/>
    <x v="1"/>
    <x v="1"/>
  </r>
  <r>
    <s v="INV-1277"/>
    <x v="202"/>
    <s v="Zahid Electronics"/>
    <x v="0"/>
    <x v="2"/>
    <s v="Oil"/>
    <n v="6"/>
    <n v="30776"/>
    <n v="184656"/>
    <x v="2"/>
    <x v="2"/>
  </r>
  <r>
    <s v="INV-1278"/>
    <x v="116"/>
    <s v="Ali Traders"/>
    <x v="3"/>
    <x v="0"/>
    <s v="Mobile"/>
    <n v="3"/>
    <n v="19127"/>
    <n v="57381"/>
    <x v="3"/>
    <x v="1"/>
  </r>
  <r>
    <s v="INV-1279"/>
    <x v="127"/>
    <s v="Usman Enterprises"/>
    <x v="1"/>
    <x v="1"/>
    <s v="Shirt"/>
    <n v="6"/>
    <n v="43897"/>
    <n v="263382"/>
    <x v="3"/>
    <x v="2"/>
  </r>
  <r>
    <s v="INV-1280"/>
    <x v="133"/>
    <s v="Khan Store"/>
    <x v="2"/>
    <x v="1"/>
    <s v="Jeans"/>
    <n v="1"/>
    <n v="14819"/>
    <n v="14819"/>
    <x v="0"/>
    <x v="1"/>
  </r>
  <r>
    <s v="INV-1281"/>
    <x v="203"/>
    <s v="Khan Store"/>
    <x v="3"/>
    <x v="0"/>
    <s v="Mobile"/>
    <n v="8"/>
    <n v="17884"/>
    <n v="143072"/>
    <x v="0"/>
    <x v="0"/>
  </r>
  <r>
    <s v="INV-1282"/>
    <x v="204"/>
    <s v="Usman Enterprises"/>
    <x v="2"/>
    <x v="3"/>
    <s v="Marker"/>
    <n v="6"/>
    <n v="47359"/>
    <n v="284154"/>
    <x v="0"/>
    <x v="2"/>
  </r>
  <r>
    <s v="INV-1283"/>
    <x v="205"/>
    <s v="Usman Enterprises"/>
    <x v="0"/>
    <x v="3"/>
    <s v="Notebook"/>
    <n v="14"/>
    <n v="6380"/>
    <n v="89320"/>
    <x v="2"/>
    <x v="2"/>
  </r>
  <r>
    <s v="INV-1284"/>
    <x v="46"/>
    <s v="Khan Store"/>
    <x v="2"/>
    <x v="2"/>
    <s v="Oil"/>
    <n v="14"/>
    <n v="3627"/>
    <n v="50778"/>
    <x v="1"/>
    <x v="0"/>
  </r>
  <r>
    <s v="INV-1285"/>
    <x v="206"/>
    <s v="Khan Store"/>
    <x v="3"/>
    <x v="2"/>
    <s v="Rice"/>
    <n v="11"/>
    <n v="7539"/>
    <n v="82929"/>
    <x v="0"/>
    <x v="2"/>
  </r>
  <r>
    <s v="INV-1286"/>
    <x v="107"/>
    <s v="Khan Store"/>
    <x v="1"/>
    <x v="2"/>
    <s v="Oil"/>
    <n v="17"/>
    <n v="29545"/>
    <n v="502265"/>
    <x v="2"/>
    <x v="2"/>
  </r>
  <r>
    <s v="INV-1287"/>
    <x v="207"/>
    <s v="Usman Enterprises"/>
    <x v="2"/>
    <x v="1"/>
    <s v="Jacket"/>
    <n v="12"/>
    <n v="21682"/>
    <n v="260184"/>
    <x v="1"/>
    <x v="1"/>
  </r>
  <r>
    <s v="INV-1288"/>
    <x v="208"/>
    <s v="Khan Store"/>
    <x v="0"/>
    <x v="3"/>
    <s v="Pen"/>
    <n v="14"/>
    <n v="36707"/>
    <n v="513898"/>
    <x v="1"/>
    <x v="2"/>
  </r>
  <r>
    <s v="INV-1289"/>
    <x v="104"/>
    <s v="Khan Store"/>
    <x v="1"/>
    <x v="3"/>
    <s v="Marker"/>
    <n v="10"/>
    <n v="29850"/>
    <n v="298500"/>
    <x v="0"/>
    <x v="1"/>
  </r>
  <r>
    <s v="INV-1290"/>
    <x v="209"/>
    <s v="Usman Enterprises"/>
    <x v="1"/>
    <x v="3"/>
    <s v="Marker"/>
    <n v="9"/>
    <n v="11482"/>
    <n v="103338"/>
    <x v="2"/>
    <x v="2"/>
  </r>
  <r>
    <s v="INV-1291"/>
    <x v="11"/>
    <s v="Khan Store"/>
    <x v="1"/>
    <x v="0"/>
    <s v="Headphones"/>
    <n v="3"/>
    <n v="24595"/>
    <n v="73785"/>
    <x v="1"/>
    <x v="2"/>
  </r>
  <r>
    <s v="INV-1292"/>
    <x v="89"/>
    <s v="Khan Store"/>
    <x v="3"/>
    <x v="1"/>
    <s v="Jeans"/>
    <n v="18"/>
    <n v="49578"/>
    <n v="892404"/>
    <x v="1"/>
    <x v="2"/>
  </r>
  <r>
    <s v="INV-1293"/>
    <x v="210"/>
    <s v="Ali Traders"/>
    <x v="3"/>
    <x v="3"/>
    <s v="Pen"/>
    <n v="15"/>
    <n v="2987"/>
    <n v="44805"/>
    <x v="0"/>
    <x v="0"/>
  </r>
  <r>
    <s v="INV-1294"/>
    <x v="171"/>
    <s v="Usman Enterprises"/>
    <x v="1"/>
    <x v="0"/>
    <s v="Mobile"/>
    <n v="14"/>
    <n v="39383"/>
    <n v="551362"/>
    <x v="1"/>
    <x v="0"/>
  </r>
  <r>
    <s v="INV-1295"/>
    <x v="12"/>
    <s v="Zahid Electronics"/>
    <x v="1"/>
    <x v="2"/>
    <s v="Sugar"/>
    <n v="11"/>
    <n v="36149"/>
    <n v="397639"/>
    <x v="1"/>
    <x v="2"/>
  </r>
  <r>
    <s v="INV-1296"/>
    <x v="77"/>
    <s v="Ali Traders"/>
    <x v="2"/>
    <x v="3"/>
    <s v="Notebook"/>
    <n v="11"/>
    <n v="32060"/>
    <n v="352660"/>
    <x v="0"/>
    <x v="0"/>
  </r>
  <r>
    <s v="INV-1297"/>
    <x v="211"/>
    <s v="Khan Store"/>
    <x v="0"/>
    <x v="3"/>
    <s v="Marker"/>
    <n v="15"/>
    <n v="35452"/>
    <n v="531780"/>
    <x v="3"/>
    <x v="0"/>
  </r>
  <r>
    <s v="INV-1298"/>
    <x v="39"/>
    <s v="Khan Store"/>
    <x v="3"/>
    <x v="2"/>
    <s v="Rice"/>
    <n v="14"/>
    <n v="34299"/>
    <n v="480186"/>
    <x v="1"/>
    <x v="1"/>
  </r>
  <r>
    <s v="INV-1299"/>
    <x v="98"/>
    <s v="Khan Store"/>
    <x v="3"/>
    <x v="3"/>
    <s v="Marker"/>
    <n v="14"/>
    <n v="43125"/>
    <n v="603750"/>
    <x v="0"/>
    <x v="0"/>
  </r>
  <r>
    <s v="INV-1300"/>
    <x v="212"/>
    <s v="Ahmed Mart"/>
    <x v="3"/>
    <x v="1"/>
    <s v="Jacket"/>
    <n v="14"/>
    <n v="40234"/>
    <n v="563276"/>
    <x v="2"/>
    <x v="2"/>
  </r>
  <r>
    <s v="INV-1301"/>
    <x v="145"/>
    <s v="Khan Store"/>
    <x v="0"/>
    <x v="0"/>
    <s v="Mobile"/>
    <n v="10"/>
    <n v="7555"/>
    <n v="75550"/>
    <x v="2"/>
    <x v="1"/>
  </r>
  <r>
    <s v="INV-1302"/>
    <x v="213"/>
    <s v="Khan Store"/>
    <x v="1"/>
    <x v="3"/>
    <s v="Pen"/>
    <n v="20"/>
    <n v="26185"/>
    <n v="523700"/>
    <x v="1"/>
    <x v="1"/>
  </r>
  <r>
    <s v="INV-1303"/>
    <x v="214"/>
    <s v="Ali Traders"/>
    <x v="2"/>
    <x v="3"/>
    <s v="Pen"/>
    <n v="16"/>
    <n v="40443"/>
    <n v="647088"/>
    <x v="0"/>
    <x v="0"/>
  </r>
  <r>
    <s v="INV-1304"/>
    <x v="215"/>
    <s v="Usman Enterprises"/>
    <x v="0"/>
    <x v="3"/>
    <s v="Notebook"/>
    <n v="19"/>
    <n v="48873"/>
    <n v="928587"/>
    <x v="1"/>
    <x v="2"/>
  </r>
  <r>
    <s v="INV-1305"/>
    <x v="216"/>
    <s v="Zahid Electronics"/>
    <x v="1"/>
    <x v="0"/>
    <s v="Headphones"/>
    <n v="20"/>
    <n v="14329"/>
    <n v="286580"/>
    <x v="3"/>
    <x v="0"/>
  </r>
  <r>
    <s v="INV-1306"/>
    <x v="217"/>
    <s v="Usman Enterprises"/>
    <x v="1"/>
    <x v="0"/>
    <s v="Headphones"/>
    <n v="12"/>
    <n v="40162"/>
    <n v="481944"/>
    <x v="1"/>
    <x v="1"/>
  </r>
  <r>
    <s v="INV-1307"/>
    <x v="61"/>
    <s v="Khan Store"/>
    <x v="0"/>
    <x v="1"/>
    <s v="Shirt"/>
    <n v="18"/>
    <n v="16320"/>
    <n v="293760"/>
    <x v="2"/>
    <x v="2"/>
  </r>
  <r>
    <s v="INV-1308"/>
    <x v="2"/>
    <s v="Ahmed Mart"/>
    <x v="1"/>
    <x v="0"/>
    <s v="Mobile"/>
    <n v="8"/>
    <n v="10249"/>
    <n v="81992"/>
    <x v="1"/>
    <x v="0"/>
  </r>
  <r>
    <s v="INV-1309"/>
    <x v="141"/>
    <s v="Ali Traders"/>
    <x v="1"/>
    <x v="2"/>
    <s v="Oil"/>
    <n v="13"/>
    <n v="29369"/>
    <n v="381797"/>
    <x v="2"/>
    <x v="0"/>
  </r>
  <r>
    <s v="INV-1310"/>
    <x v="197"/>
    <s v="Ali Traders"/>
    <x v="2"/>
    <x v="3"/>
    <s v="Marker"/>
    <n v="10"/>
    <n v="5842"/>
    <n v="58420"/>
    <x v="1"/>
    <x v="1"/>
  </r>
  <r>
    <s v="INV-1311"/>
    <x v="218"/>
    <s v="Ahmed Mart"/>
    <x v="2"/>
    <x v="1"/>
    <s v="Jeans"/>
    <n v="6"/>
    <n v="24636"/>
    <n v="147816"/>
    <x v="0"/>
    <x v="1"/>
  </r>
  <r>
    <s v="INV-1312"/>
    <x v="0"/>
    <s v="Ali Traders"/>
    <x v="0"/>
    <x v="3"/>
    <s v="Notebook"/>
    <n v="5"/>
    <n v="43718"/>
    <n v="218590"/>
    <x v="2"/>
    <x v="0"/>
  </r>
  <r>
    <s v="INV-1313"/>
    <x v="104"/>
    <s v="Ahmed Mart"/>
    <x v="0"/>
    <x v="0"/>
    <s v="Headphones"/>
    <n v="20"/>
    <n v="32500"/>
    <n v="650000"/>
    <x v="3"/>
    <x v="2"/>
  </r>
  <r>
    <s v="INV-1314"/>
    <x v="219"/>
    <s v="Khan Store"/>
    <x v="1"/>
    <x v="1"/>
    <s v="Shirt"/>
    <n v="9"/>
    <n v="9697"/>
    <n v="87273"/>
    <x v="1"/>
    <x v="2"/>
  </r>
  <r>
    <s v="INV-1315"/>
    <x v="7"/>
    <s v="Zahid Electronics"/>
    <x v="0"/>
    <x v="1"/>
    <s v="Shirt"/>
    <n v="3"/>
    <n v="10292"/>
    <n v="30876"/>
    <x v="3"/>
    <x v="2"/>
  </r>
  <r>
    <s v="INV-1316"/>
    <x v="45"/>
    <s v="Ali Traders"/>
    <x v="1"/>
    <x v="0"/>
    <s v="Mobile"/>
    <n v="17"/>
    <n v="5485"/>
    <n v="93245"/>
    <x v="0"/>
    <x v="0"/>
  </r>
  <r>
    <s v="INV-1317"/>
    <x v="19"/>
    <s v="Usman Enterprises"/>
    <x v="1"/>
    <x v="1"/>
    <s v="Jacket"/>
    <n v="1"/>
    <n v="46640"/>
    <n v="46640"/>
    <x v="1"/>
    <x v="2"/>
  </r>
  <r>
    <s v="INV-1318"/>
    <x v="220"/>
    <s v="Zahid Electronics"/>
    <x v="1"/>
    <x v="1"/>
    <s v="Shirt"/>
    <n v="1"/>
    <n v="8870"/>
    <n v="8870"/>
    <x v="0"/>
    <x v="1"/>
  </r>
  <r>
    <s v="INV-1319"/>
    <x v="221"/>
    <s v="Zahid Electronics"/>
    <x v="3"/>
    <x v="0"/>
    <s v="Headphones"/>
    <n v="12"/>
    <n v="11144"/>
    <n v="133728"/>
    <x v="2"/>
    <x v="1"/>
  </r>
  <r>
    <s v="INV-1320"/>
    <x v="138"/>
    <s v="Zahid Electronics"/>
    <x v="0"/>
    <x v="1"/>
    <s v="Shirt"/>
    <n v="13"/>
    <n v="18064"/>
    <n v="234832"/>
    <x v="0"/>
    <x v="0"/>
  </r>
  <r>
    <s v="INV-1321"/>
    <x v="222"/>
    <s v="Khan Store"/>
    <x v="0"/>
    <x v="3"/>
    <s v="Pen"/>
    <n v="2"/>
    <n v="25200"/>
    <n v="50400"/>
    <x v="0"/>
    <x v="0"/>
  </r>
  <r>
    <s v="INV-1322"/>
    <x v="66"/>
    <s v="Ali Traders"/>
    <x v="3"/>
    <x v="1"/>
    <s v="Jacket"/>
    <n v="6"/>
    <n v="22966"/>
    <n v="137796"/>
    <x v="1"/>
    <x v="0"/>
  </r>
  <r>
    <s v="INV-1323"/>
    <x v="223"/>
    <s v="Ahmed Mart"/>
    <x v="3"/>
    <x v="2"/>
    <s v="Sugar"/>
    <n v="17"/>
    <n v="35507"/>
    <n v="603619"/>
    <x v="1"/>
    <x v="0"/>
  </r>
  <r>
    <s v="INV-1324"/>
    <x v="217"/>
    <s v="Ahmed Mart"/>
    <x v="3"/>
    <x v="3"/>
    <s v="Notebook"/>
    <n v="13"/>
    <n v="36664"/>
    <n v="476632"/>
    <x v="0"/>
    <x v="2"/>
  </r>
  <r>
    <s v="INV-1325"/>
    <x v="224"/>
    <s v="Khan Store"/>
    <x v="1"/>
    <x v="1"/>
    <s v="Jacket"/>
    <n v="1"/>
    <n v="29328"/>
    <n v="29328"/>
    <x v="2"/>
    <x v="1"/>
  </r>
  <r>
    <s v="INV-1326"/>
    <x v="161"/>
    <s v="Ali Traders"/>
    <x v="2"/>
    <x v="1"/>
    <s v="Jeans"/>
    <n v="16"/>
    <n v="17975"/>
    <n v="287600"/>
    <x v="1"/>
    <x v="2"/>
  </r>
  <r>
    <s v="INV-1327"/>
    <x v="50"/>
    <s v="Khan Store"/>
    <x v="1"/>
    <x v="3"/>
    <s v="Pen"/>
    <n v="7"/>
    <n v="48516"/>
    <n v="339612"/>
    <x v="0"/>
    <x v="0"/>
  </r>
  <r>
    <s v="INV-1328"/>
    <x v="78"/>
    <s v="Zahid Electronics"/>
    <x v="2"/>
    <x v="2"/>
    <s v="Sugar"/>
    <n v="12"/>
    <n v="6016"/>
    <n v="72192"/>
    <x v="3"/>
    <x v="0"/>
  </r>
  <r>
    <s v="INV-1329"/>
    <x v="225"/>
    <s v="Zahid Electronics"/>
    <x v="3"/>
    <x v="3"/>
    <s v="Notebook"/>
    <n v="19"/>
    <n v="33800"/>
    <n v="642200"/>
    <x v="1"/>
    <x v="0"/>
  </r>
  <r>
    <s v="INV-1330"/>
    <x v="177"/>
    <s v="Khan Store"/>
    <x v="3"/>
    <x v="2"/>
    <s v="Sugar"/>
    <n v="19"/>
    <n v="20293"/>
    <n v="385567"/>
    <x v="3"/>
    <x v="0"/>
  </r>
  <r>
    <s v="INV-1331"/>
    <x v="226"/>
    <s v="Ali Traders"/>
    <x v="2"/>
    <x v="1"/>
    <s v="Shirt"/>
    <n v="6"/>
    <n v="30489"/>
    <n v="182934"/>
    <x v="0"/>
    <x v="2"/>
  </r>
  <r>
    <s v="INV-1332"/>
    <x v="135"/>
    <s v="Usman Enterprises"/>
    <x v="1"/>
    <x v="3"/>
    <s v="Notebook"/>
    <n v="8"/>
    <n v="40751"/>
    <n v="326008"/>
    <x v="1"/>
    <x v="0"/>
  </r>
  <r>
    <s v="INV-1333"/>
    <x v="154"/>
    <s v="Usman Enterprises"/>
    <x v="2"/>
    <x v="1"/>
    <s v="Jeans"/>
    <n v="5"/>
    <n v="32377"/>
    <n v="161885"/>
    <x v="2"/>
    <x v="1"/>
  </r>
  <r>
    <s v="INV-1334"/>
    <x v="227"/>
    <s v="Khan Store"/>
    <x v="3"/>
    <x v="2"/>
    <s v="Sugar"/>
    <n v="7"/>
    <n v="12473"/>
    <n v="87311"/>
    <x v="3"/>
    <x v="2"/>
  </r>
  <r>
    <s v="INV-1335"/>
    <x v="228"/>
    <s v="Ahmed Mart"/>
    <x v="0"/>
    <x v="1"/>
    <s v="Jacket"/>
    <n v="19"/>
    <n v="48255"/>
    <n v="916845"/>
    <x v="0"/>
    <x v="2"/>
  </r>
  <r>
    <s v="INV-1336"/>
    <x v="229"/>
    <s v="Khan Store"/>
    <x v="3"/>
    <x v="0"/>
    <s v="Mobile"/>
    <n v="12"/>
    <n v="2213"/>
    <n v="26556"/>
    <x v="0"/>
    <x v="2"/>
  </r>
  <r>
    <s v="INV-1337"/>
    <x v="156"/>
    <s v="Khan Store"/>
    <x v="3"/>
    <x v="3"/>
    <s v="Marker"/>
    <n v="11"/>
    <n v="37641"/>
    <n v="414051"/>
    <x v="2"/>
    <x v="0"/>
  </r>
  <r>
    <s v="INV-1338"/>
    <x v="188"/>
    <s v="Ahmed Mart"/>
    <x v="2"/>
    <x v="2"/>
    <s v="Rice"/>
    <n v="9"/>
    <n v="41645"/>
    <n v="374805"/>
    <x v="2"/>
    <x v="1"/>
  </r>
  <r>
    <s v="INV-1339"/>
    <x v="170"/>
    <s v="Ali Traders"/>
    <x v="0"/>
    <x v="0"/>
    <s v="Laptop"/>
    <n v="5"/>
    <n v="35294"/>
    <n v="176470"/>
    <x v="2"/>
    <x v="1"/>
  </r>
  <r>
    <s v="INV-1340"/>
    <x v="51"/>
    <s v="Khan Store"/>
    <x v="3"/>
    <x v="3"/>
    <s v="Notebook"/>
    <n v="15"/>
    <n v="5347"/>
    <n v="80205"/>
    <x v="0"/>
    <x v="0"/>
  </r>
  <r>
    <s v="INV-1341"/>
    <x v="230"/>
    <s v="Khan Store"/>
    <x v="1"/>
    <x v="1"/>
    <s v="Jeans"/>
    <n v="7"/>
    <n v="26063"/>
    <n v="182441"/>
    <x v="3"/>
    <x v="0"/>
  </r>
  <r>
    <s v="INV-1342"/>
    <x v="231"/>
    <s v="Usman Enterprises"/>
    <x v="2"/>
    <x v="2"/>
    <s v="Sugar"/>
    <n v="18"/>
    <n v="32708"/>
    <n v="588744"/>
    <x v="1"/>
    <x v="2"/>
  </r>
  <r>
    <s v="INV-1343"/>
    <x v="204"/>
    <s v="Zahid Electronics"/>
    <x v="3"/>
    <x v="0"/>
    <s v="Headphones"/>
    <n v="14"/>
    <n v="48603"/>
    <n v="680442"/>
    <x v="0"/>
    <x v="2"/>
  </r>
  <r>
    <s v="INV-1344"/>
    <x v="189"/>
    <s v="Ahmed Mart"/>
    <x v="2"/>
    <x v="0"/>
    <s v="Mobile"/>
    <n v="6"/>
    <n v="14986"/>
    <n v="89916"/>
    <x v="1"/>
    <x v="1"/>
  </r>
  <r>
    <s v="INV-1345"/>
    <x v="181"/>
    <s v="Khan Store"/>
    <x v="2"/>
    <x v="2"/>
    <s v="Sugar"/>
    <n v="17"/>
    <n v="35515"/>
    <n v="603755"/>
    <x v="2"/>
    <x v="1"/>
  </r>
  <r>
    <s v="INV-1346"/>
    <x v="2"/>
    <s v="Khan Store"/>
    <x v="2"/>
    <x v="1"/>
    <s v="Jeans"/>
    <n v="1"/>
    <n v="18617"/>
    <n v="18617"/>
    <x v="3"/>
    <x v="0"/>
  </r>
  <r>
    <s v="INV-1347"/>
    <x v="232"/>
    <s v="Khan Store"/>
    <x v="0"/>
    <x v="2"/>
    <s v="Rice"/>
    <n v="17"/>
    <n v="14297"/>
    <n v="243049"/>
    <x v="2"/>
    <x v="1"/>
  </r>
  <r>
    <s v="INV-1348"/>
    <x v="81"/>
    <s v="Ali Traders"/>
    <x v="3"/>
    <x v="3"/>
    <s v="Marker"/>
    <n v="17"/>
    <n v="32791"/>
    <n v="557447"/>
    <x v="2"/>
    <x v="0"/>
  </r>
  <r>
    <s v="INV-1349"/>
    <x v="233"/>
    <s v="Zahid Electronics"/>
    <x v="0"/>
    <x v="3"/>
    <s v="Marker"/>
    <n v="3"/>
    <n v="28015"/>
    <n v="84045"/>
    <x v="0"/>
    <x v="2"/>
  </r>
  <r>
    <s v="INV-1350"/>
    <x v="166"/>
    <s v="Zahid Electronics"/>
    <x v="1"/>
    <x v="2"/>
    <s v="Rice"/>
    <n v="17"/>
    <n v="11143"/>
    <n v="189431"/>
    <x v="0"/>
    <x v="1"/>
  </r>
  <r>
    <s v="INV-1351"/>
    <x v="234"/>
    <s v="Khan Store"/>
    <x v="1"/>
    <x v="2"/>
    <s v="Oil"/>
    <n v="14"/>
    <n v="37364"/>
    <n v="523096"/>
    <x v="1"/>
    <x v="2"/>
  </r>
  <r>
    <s v="INV-1352"/>
    <x v="235"/>
    <s v="Zahid Electronics"/>
    <x v="3"/>
    <x v="1"/>
    <s v="Jeans"/>
    <n v="12"/>
    <n v="29065"/>
    <n v="348780"/>
    <x v="1"/>
    <x v="0"/>
  </r>
  <r>
    <s v="INV-1353"/>
    <x v="236"/>
    <s v="Ali Traders"/>
    <x v="3"/>
    <x v="3"/>
    <s v="Marker"/>
    <n v="17"/>
    <n v="48349"/>
    <n v="821933"/>
    <x v="0"/>
    <x v="2"/>
  </r>
  <r>
    <s v="INV-1354"/>
    <x v="14"/>
    <s v="Ali Traders"/>
    <x v="0"/>
    <x v="0"/>
    <s v="Headphones"/>
    <n v="15"/>
    <n v="6005"/>
    <n v="90075"/>
    <x v="3"/>
    <x v="2"/>
  </r>
  <r>
    <s v="INV-1355"/>
    <x v="131"/>
    <s v="Ali Traders"/>
    <x v="3"/>
    <x v="1"/>
    <s v="Jacket"/>
    <n v="8"/>
    <n v="27510"/>
    <n v="220080"/>
    <x v="2"/>
    <x v="1"/>
  </r>
  <r>
    <s v="INV-1356"/>
    <x v="237"/>
    <s v="Ali Traders"/>
    <x v="0"/>
    <x v="0"/>
    <s v="Laptop"/>
    <n v="16"/>
    <n v="33907"/>
    <n v="542512"/>
    <x v="0"/>
    <x v="0"/>
  </r>
  <r>
    <s v="INV-1357"/>
    <x v="64"/>
    <s v="Ahmed Mart"/>
    <x v="1"/>
    <x v="0"/>
    <s v="Mobile"/>
    <n v="18"/>
    <n v="7205"/>
    <n v="129690"/>
    <x v="3"/>
    <x v="0"/>
  </r>
  <r>
    <s v="INV-1358"/>
    <x v="180"/>
    <s v="Zahid Electronics"/>
    <x v="1"/>
    <x v="1"/>
    <s v="Jeans"/>
    <n v="13"/>
    <n v="26406"/>
    <n v="343278"/>
    <x v="3"/>
    <x v="1"/>
  </r>
  <r>
    <s v="INV-1359"/>
    <x v="238"/>
    <s v="Ahmed Mart"/>
    <x v="0"/>
    <x v="2"/>
    <s v="Oil"/>
    <n v="13"/>
    <n v="38882"/>
    <n v="505466"/>
    <x v="0"/>
    <x v="2"/>
  </r>
  <r>
    <s v="INV-1360"/>
    <x v="107"/>
    <s v="Usman Enterprises"/>
    <x v="0"/>
    <x v="3"/>
    <s v="Pen"/>
    <n v="11"/>
    <n v="41926"/>
    <n v="461186"/>
    <x v="1"/>
    <x v="0"/>
  </r>
  <r>
    <s v="INV-1361"/>
    <x v="229"/>
    <s v="Ahmed Mart"/>
    <x v="1"/>
    <x v="3"/>
    <s v="Marker"/>
    <n v="18"/>
    <n v="27403"/>
    <n v="493254"/>
    <x v="3"/>
    <x v="1"/>
  </r>
  <r>
    <s v="INV-1362"/>
    <x v="158"/>
    <s v="Ahmed Mart"/>
    <x v="3"/>
    <x v="1"/>
    <s v="Jeans"/>
    <n v="1"/>
    <n v="24567"/>
    <n v="24567"/>
    <x v="2"/>
    <x v="1"/>
  </r>
  <r>
    <s v="INV-1363"/>
    <x v="229"/>
    <s v="Zahid Electronics"/>
    <x v="3"/>
    <x v="1"/>
    <s v="Jacket"/>
    <n v="20"/>
    <n v="15690"/>
    <n v="313800"/>
    <x v="2"/>
    <x v="0"/>
  </r>
  <r>
    <s v="INV-1364"/>
    <x v="239"/>
    <s v="Ahmed Mart"/>
    <x v="3"/>
    <x v="1"/>
    <s v="Shirt"/>
    <n v="13"/>
    <n v="22856"/>
    <n v="297128"/>
    <x v="3"/>
    <x v="0"/>
  </r>
  <r>
    <s v="INV-1365"/>
    <x v="240"/>
    <s v="Ahmed Mart"/>
    <x v="2"/>
    <x v="0"/>
    <s v="Headphones"/>
    <n v="3"/>
    <n v="29691"/>
    <n v="89073"/>
    <x v="0"/>
    <x v="1"/>
  </r>
  <r>
    <s v="INV-1366"/>
    <x v="104"/>
    <s v="Usman Enterprises"/>
    <x v="0"/>
    <x v="0"/>
    <s v="Headphones"/>
    <n v="14"/>
    <n v="6692"/>
    <n v="93688"/>
    <x v="3"/>
    <x v="0"/>
  </r>
  <r>
    <s v="INV-1367"/>
    <x v="6"/>
    <s v="Usman Enterprises"/>
    <x v="3"/>
    <x v="1"/>
    <s v="Jacket"/>
    <n v="19"/>
    <n v="13340"/>
    <n v="253460"/>
    <x v="1"/>
    <x v="0"/>
  </r>
  <r>
    <s v="INV-1368"/>
    <x v="119"/>
    <s v="Khan Store"/>
    <x v="0"/>
    <x v="1"/>
    <s v="Jacket"/>
    <n v="20"/>
    <n v="28507"/>
    <n v="570140"/>
    <x v="2"/>
    <x v="1"/>
  </r>
  <r>
    <s v="INV-1369"/>
    <x v="67"/>
    <s v="Usman Enterprises"/>
    <x v="2"/>
    <x v="3"/>
    <s v="Marker"/>
    <n v="8"/>
    <n v="30711"/>
    <n v="245688"/>
    <x v="3"/>
    <x v="0"/>
  </r>
  <r>
    <s v="INV-1370"/>
    <x v="234"/>
    <s v="Ali Traders"/>
    <x v="0"/>
    <x v="0"/>
    <s v="Headphones"/>
    <n v="7"/>
    <n v="40299"/>
    <n v="282093"/>
    <x v="3"/>
    <x v="1"/>
  </r>
  <r>
    <s v="INV-1371"/>
    <x v="22"/>
    <s v="Khan Store"/>
    <x v="0"/>
    <x v="2"/>
    <s v="Oil"/>
    <n v="14"/>
    <n v="20827"/>
    <n v="291578"/>
    <x v="2"/>
    <x v="2"/>
  </r>
  <r>
    <s v="INV-1372"/>
    <x v="201"/>
    <s v="Ahmed Mart"/>
    <x v="1"/>
    <x v="0"/>
    <s v="Mobile"/>
    <n v="10"/>
    <n v="42814"/>
    <n v="428140"/>
    <x v="0"/>
    <x v="0"/>
  </r>
  <r>
    <s v="INV-1373"/>
    <x v="52"/>
    <s v="Khan Store"/>
    <x v="3"/>
    <x v="2"/>
    <s v="Sugar"/>
    <n v="8"/>
    <n v="11050"/>
    <n v="88400"/>
    <x v="0"/>
    <x v="2"/>
  </r>
  <r>
    <s v="INV-1374"/>
    <x v="241"/>
    <s v="Usman Enterprises"/>
    <x v="1"/>
    <x v="0"/>
    <s v="Laptop"/>
    <n v="3"/>
    <n v="11691"/>
    <n v="35073"/>
    <x v="3"/>
    <x v="1"/>
  </r>
  <r>
    <s v="INV-1375"/>
    <x v="179"/>
    <s v="Ali Traders"/>
    <x v="2"/>
    <x v="2"/>
    <s v="Sugar"/>
    <n v="4"/>
    <n v="34173"/>
    <n v="136692"/>
    <x v="3"/>
    <x v="0"/>
  </r>
  <r>
    <s v="INV-1376"/>
    <x v="242"/>
    <s v="Usman Enterprises"/>
    <x v="2"/>
    <x v="3"/>
    <s v="Notebook"/>
    <n v="19"/>
    <n v="19842"/>
    <n v="376998"/>
    <x v="2"/>
    <x v="1"/>
  </r>
  <r>
    <s v="INV-1377"/>
    <x v="126"/>
    <s v="Zahid Electronics"/>
    <x v="2"/>
    <x v="1"/>
    <s v="Shirt"/>
    <n v="2"/>
    <n v="36692"/>
    <n v="73384"/>
    <x v="3"/>
    <x v="0"/>
  </r>
  <r>
    <s v="INV-1378"/>
    <x v="243"/>
    <s v="Zahid Electronics"/>
    <x v="2"/>
    <x v="2"/>
    <s v="Oil"/>
    <n v="8"/>
    <n v="46884"/>
    <n v="375072"/>
    <x v="3"/>
    <x v="1"/>
  </r>
  <r>
    <s v="INV-1379"/>
    <x v="159"/>
    <s v="Usman Enterprises"/>
    <x v="3"/>
    <x v="0"/>
    <s v="Laptop"/>
    <n v="14"/>
    <n v="23287"/>
    <n v="326018"/>
    <x v="1"/>
    <x v="0"/>
  </r>
  <r>
    <s v="INV-1380"/>
    <x v="113"/>
    <s v="Ali Traders"/>
    <x v="2"/>
    <x v="0"/>
    <s v="Mobile"/>
    <n v="7"/>
    <n v="5709"/>
    <n v="39963"/>
    <x v="3"/>
    <x v="1"/>
  </r>
  <r>
    <s v="INV-1381"/>
    <x v="193"/>
    <s v="Usman Enterprises"/>
    <x v="2"/>
    <x v="0"/>
    <s v="Headphones"/>
    <n v="5"/>
    <n v="14786"/>
    <n v="73930"/>
    <x v="0"/>
    <x v="2"/>
  </r>
  <r>
    <s v="INV-1382"/>
    <x v="244"/>
    <s v="Ali Traders"/>
    <x v="1"/>
    <x v="3"/>
    <s v="Notebook"/>
    <n v="6"/>
    <n v="12973"/>
    <n v="77838"/>
    <x v="2"/>
    <x v="0"/>
  </r>
  <r>
    <s v="INV-1383"/>
    <x v="106"/>
    <s v="Ali Traders"/>
    <x v="3"/>
    <x v="3"/>
    <s v="Marker"/>
    <n v="11"/>
    <n v="30592"/>
    <n v="336512"/>
    <x v="3"/>
    <x v="1"/>
  </r>
  <r>
    <s v="INV-1384"/>
    <x v="71"/>
    <s v="Ahmed Mart"/>
    <x v="2"/>
    <x v="1"/>
    <s v="Jeans"/>
    <n v="15"/>
    <n v="9890"/>
    <n v="148350"/>
    <x v="0"/>
    <x v="2"/>
  </r>
  <r>
    <s v="INV-1385"/>
    <x v="245"/>
    <s v="Ali Traders"/>
    <x v="1"/>
    <x v="0"/>
    <s v="Mobile"/>
    <n v="3"/>
    <n v="5261"/>
    <n v="15783"/>
    <x v="2"/>
    <x v="0"/>
  </r>
  <r>
    <s v="INV-1386"/>
    <x v="97"/>
    <s v="Usman Enterprises"/>
    <x v="1"/>
    <x v="3"/>
    <s v="Marker"/>
    <n v="13"/>
    <n v="41591"/>
    <n v="540683"/>
    <x v="1"/>
    <x v="0"/>
  </r>
  <r>
    <s v="INV-1387"/>
    <x v="128"/>
    <s v="Ahmed Mart"/>
    <x v="2"/>
    <x v="1"/>
    <s v="Shirt"/>
    <n v="16"/>
    <n v="45362"/>
    <n v="725792"/>
    <x v="3"/>
    <x v="2"/>
  </r>
  <r>
    <s v="INV-1388"/>
    <x v="228"/>
    <s v="Usman Enterprises"/>
    <x v="2"/>
    <x v="2"/>
    <s v="Oil"/>
    <n v="10"/>
    <n v="39266"/>
    <n v="392660"/>
    <x v="1"/>
    <x v="1"/>
  </r>
  <r>
    <s v="INV-1389"/>
    <x v="96"/>
    <s v="Ali Traders"/>
    <x v="0"/>
    <x v="3"/>
    <s v="Pen"/>
    <n v="20"/>
    <n v="17386"/>
    <n v="347720"/>
    <x v="1"/>
    <x v="1"/>
  </r>
  <r>
    <s v="INV-1390"/>
    <x v="246"/>
    <s v="Ali Traders"/>
    <x v="1"/>
    <x v="2"/>
    <s v="Rice"/>
    <n v="16"/>
    <n v="22721"/>
    <n v="363536"/>
    <x v="2"/>
    <x v="2"/>
  </r>
  <r>
    <s v="INV-1391"/>
    <x v="110"/>
    <s v="Usman Enterprises"/>
    <x v="2"/>
    <x v="1"/>
    <s v="Shirt"/>
    <n v="18"/>
    <n v="34264"/>
    <n v="616752"/>
    <x v="3"/>
    <x v="2"/>
  </r>
  <r>
    <s v="INV-1392"/>
    <x v="104"/>
    <s v="Zahid Electronics"/>
    <x v="1"/>
    <x v="3"/>
    <s v="Pen"/>
    <n v="2"/>
    <n v="30086"/>
    <n v="60172"/>
    <x v="2"/>
    <x v="0"/>
  </r>
  <r>
    <s v="INV-1393"/>
    <x v="226"/>
    <s v="Zahid Electronics"/>
    <x v="2"/>
    <x v="2"/>
    <s v="Rice"/>
    <n v="16"/>
    <n v="25533"/>
    <n v="408528"/>
    <x v="2"/>
    <x v="0"/>
  </r>
  <r>
    <s v="INV-1394"/>
    <x v="247"/>
    <s v="Ali Traders"/>
    <x v="3"/>
    <x v="0"/>
    <s v="Laptop"/>
    <n v="3"/>
    <n v="19098"/>
    <n v="57294"/>
    <x v="2"/>
    <x v="1"/>
  </r>
  <r>
    <s v="INV-1395"/>
    <x v="188"/>
    <s v="Ali Traders"/>
    <x v="0"/>
    <x v="1"/>
    <s v="Shirt"/>
    <n v="1"/>
    <n v="2495"/>
    <n v="2495"/>
    <x v="1"/>
    <x v="2"/>
  </r>
  <r>
    <s v="INV-1396"/>
    <x v="115"/>
    <s v="Ali Traders"/>
    <x v="0"/>
    <x v="1"/>
    <s v="Shirt"/>
    <n v="14"/>
    <n v="5442"/>
    <n v="76188"/>
    <x v="1"/>
    <x v="1"/>
  </r>
  <r>
    <s v="INV-1397"/>
    <x v="151"/>
    <s v="Usman Enterprises"/>
    <x v="0"/>
    <x v="2"/>
    <s v="Rice"/>
    <n v="12"/>
    <n v="25882"/>
    <n v="310584"/>
    <x v="0"/>
    <x v="0"/>
  </r>
  <r>
    <s v="INV-1398"/>
    <x v="248"/>
    <s v="Zahid Electronics"/>
    <x v="2"/>
    <x v="3"/>
    <s v="Pen"/>
    <n v="7"/>
    <n v="45281"/>
    <n v="316967"/>
    <x v="2"/>
    <x v="2"/>
  </r>
  <r>
    <s v="INV-1399"/>
    <x v="11"/>
    <s v="Ali Traders"/>
    <x v="2"/>
    <x v="3"/>
    <s v="Notebook"/>
    <n v="2"/>
    <n v="25017"/>
    <n v="50034"/>
    <x v="1"/>
    <x v="2"/>
  </r>
  <r>
    <s v="INV-1400"/>
    <x v="228"/>
    <s v="Ali Traders"/>
    <x v="3"/>
    <x v="1"/>
    <s v="Jeans"/>
    <n v="15"/>
    <n v="25177"/>
    <n v="377655"/>
    <x v="2"/>
    <x v="1"/>
  </r>
  <r>
    <s v="INV-1401"/>
    <x v="249"/>
    <s v="Ahmed Mart"/>
    <x v="1"/>
    <x v="1"/>
    <s v="Jeans"/>
    <n v="13"/>
    <n v="11942"/>
    <n v="155246"/>
    <x v="3"/>
    <x v="2"/>
  </r>
  <r>
    <s v="INV-1402"/>
    <x v="250"/>
    <s v="Usman Enterprises"/>
    <x v="0"/>
    <x v="1"/>
    <s v="Jeans"/>
    <n v="13"/>
    <n v="18601"/>
    <n v="241813"/>
    <x v="2"/>
    <x v="0"/>
  </r>
  <r>
    <s v="INV-1403"/>
    <x v="111"/>
    <s v="Ali Traders"/>
    <x v="3"/>
    <x v="2"/>
    <s v="Rice"/>
    <n v="16"/>
    <n v="7378"/>
    <n v="118048"/>
    <x v="1"/>
    <x v="1"/>
  </r>
  <r>
    <s v="INV-1404"/>
    <x v="178"/>
    <s v="Khan Store"/>
    <x v="1"/>
    <x v="1"/>
    <s v="Jeans"/>
    <n v="8"/>
    <n v="4488"/>
    <n v="35904"/>
    <x v="2"/>
    <x v="2"/>
  </r>
  <r>
    <s v="INV-1405"/>
    <x v="5"/>
    <s v="Ali Traders"/>
    <x v="0"/>
    <x v="0"/>
    <s v="Laptop"/>
    <n v="13"/>
    <n v="19906"/>
    <n v="258778"/>
    <x v="3"/>
    <x v="1"/>
  </r>
  <r>
    <s v="INV-1406"/>
    <x v="21"/>
    <s v="Ahmed Mart"/>
    <x v="0"/>
    <x v="0"/>
    <s v="Laptop"/>
    <n v="14"/>
    <n v="35486"/>
    <n v="496804"/>
    <x v="1"/>
    <x v="2"/>
  </r>
  <r>
    <s v="INV-1407"/>
    <x v="3"/>
    <s v="Zahid Electronics"/>
    <x v="1"/>
    <x v="1"/>
    <s v="Shirt"/>
    <n v="12"/>
    <n v="32725"/>
    <n v="392700"/>
    <x v="2"/>
    <x v="2"/>
  </r>
  <r>
    <s v="INV-1408"/>
    <x v="251"/>
    <s v="Zahid Electronics"/>
    <x v="1"/>
    <x v="1"/>
    <s v="Jacket"/>
    <n v="18"/>
    <n v="18392"/>
    <n v="331056"/>
    <x v="2"/>
    <x v="1"/>
  </r>
  <r>
    <s v="INV-1409"/>
    <x v="252"/>
    <s v="Ali Traders"/>
    <x v="2"/>
    <x v="3"/>
    <s v="Pen"/>
    <n v="7"/>
    <n v="9201"/>
    <n v="64407"/>
    <x v="1"/>
    <x v="2"/>
  </r>
  <r>
    <s v="INV-1410"/>
    <x v="42"/>
    <s v="Zahid Electronics"/>
    <x v="3"/>
    <x v="0"/>
    <s v="Headphones"/>
    <n v="14"/>
    <n v="36913"/>
    <n v="516782"/>
    <x v="0"/>
    <x v="2"/>
  </r>
  <r>
    <s v="INV-1411"/>
    <x v="28"/>
    <s v="Zahid Electronics"/>
    <x v="0"/>
    <x v="2"/>
    <s v="Oil"/>
    <n v="6"/>
    <n v="433"/>
    <n v="2598"/>
    <x v="1"/>
    <x v="0"/>
  </r>
  <r>
    <s v="INV-1412"/>
    <x v="253"/>
    <s v="Khan Store"/>
    <x v="0"/>
    <x v="2"/>
    <s v="Oil"/>
    <n v="1"/>
    <n v="2984"/>
    <n v="2984"/>
    <x v="2"/>
    <x v="1"/>
  </r>
  <r>
    <s v="INV-1413"/>
    <x v="3"/>
    <s v="Zahid Electronics"/>
    <x v="2"/>
    <x v="3"/>
    <s v="Pen"/>
    <n v="12"/>
    <n v="19456"/>
    <n v="233472"/>
    <x v="1"/>
    <x v="0"/>
  </r>
  <r>
    <s v="INV-1414"/>
    <x v="155"/>
    <s v="Ahmed Mart"/>
    <x v="2"/>
    <x v="1"/>
    <s v="Jeans"/>
    <n v="7"/>
    <n v="5191"/>
    <n v="36337"/>
    <x v="2"/>
    <x v="1"/>
  </r>
  <r>
    <s v="INV-1415"/>
    <x v="9"/>
    <s v="Zahid Electronics"/>
    <x v="1"/>
    <x v="1"/>
    <s v="Shirt"/>
    <n v="1"/>
    <n v="5469"/>
    <n v="5469"/>
    <x v="0"/>
    <x v="1"/>
  </r>
  <r>
    <s v="INV-1416"/>
    <x v="254"/>
    <s v="Ahmed Mart"/>
    <x v="3"/>
    <x v="1"/>
    <s v="Jacket"/>
    <n v="20"/>
    <n v="1528"/>
    <n v="30560"/>
    <x v="2"/>
    <x v="2"/>
  </r>
  <r>
    <s v="INV-1417"/>
    <x v="180"/>
    <s v="Ali Traders"/>
    <x v="0"/>
    <x v="3"/>
    <s v="Pen"/>
    <n v="19"/>
    <n v="43994"/>
    <n v="835886"/>
    <x v="0"/>
    <x v="0"/>
  </r>
  <r>
    <s v="INV-1418"/>
    <x v="255"/>
    <s v="Ali Traders"/>
    <x v="1"/>
    <x v="3"/>
    <s v="Pen"/>
    <n v="17"/>
    <n v="949"/>
    <n v="16133"/>
    <x v="1"/>
    <x v="2"/>
  </r>
  <r>
    <s v="INV-1419"/>
    <x v="251"/>
    <s v="Zahid Electronics"/>
    <x v="2"/>
    <x v="0"/>
    <s v="Headphones"/>
    <n v="7"/>
    <n v="16405"/>
    <n v="114835"/>
    <x v="1"/>
    <x v="0"/>
  </r>
  <r>
    <s v="INV-1420"/>
    <x v="256"/>
    <s v="Usman Enterprises"/>
    <x v="0"/>
    <x v="2"/>
    <s v="Rice"/>
    <n v="9"/>
    <n v="28459"/>
    <n v="256131"/>
    <x v="0"/>
    <x v="0"/>
  </r>
  <r>
    <s v="INV-1421"/>
    <x v="20"/>
    <s v="Ali Traders"/>
    <x v="1"/>
    <x v="3"/>
    <s v="Marker"/>
    <n v="13"/>
    <n v="29805"/>
    <n v="387465"/>
    <x v="2"/>
    <x v="2"/>
  </r>
  <r>
    <s v="INV-1422"/>
    <x v="257"/>
    <s v="Ali Traders"/>
    <x v="3"/>
    <x v="0"/>
    <s v="Laptop"/>
    <n v="20"/>
    <n v="45610"/>
    <n v="912200"/>
    <x v="1"/>
    <x v="0"/>
  </r>
  <r>
    <s v="INV-1423"/>
    <x v="69"/>
    <s v="Usman Enterprises"/>
    <x v="2"/>
    <x v="2"/>
    <s v="Rice"/>
    <n v="5"/>
    <n v="15366"/>
    <n v="76830"/>
    <x v="2"/>
    <x v="2"/>
  </r>
  <r>
    <s v="INV-1424"/>
    <x v="203"/>
    <s v="Usman Enterprises"/>
    <x v="3"/>
    <x v="0"/>
    <s v="Mobile"/>
    <n v="14"/>
    <n v="1720"/>
    <n v="24080"/>
    <x v="2"/>
    <x v="1"/>
  </r>
  <r>
    <s v="INV-1425"/>
    <x v="234"/>
    <s v="Zahid Electronics"/>
    <x v="2"/>
    <x v="1"/>
    <s v="Shirt"/>
    <n v="3"/>
    <n v="27506"/>
    <n v="82518"/>
    <x v="0"/>
    <x v="0"/>
  </r>
  <r>
    <s v="INV-1426"/>
    <x v="258"/>
    <s v="Zahid Electronics"/>
    <x v="2"/>
    <x v="0"/>
    <s v="Mobile"/>
    <n v="1"/>
    <n v="17460"/>
    <n v="17460"/>
    <x v="2"/>
    <x v="2"/>
  </r>
  <r>
    <s v="INV-1427"/>
    <x v="98"/>
    <s v="Ahmed Mart"/>
    <x v="3"/>
    <x v="2"/>
    <s v="Sugar"/>
    <n v="10"/>
    <n v="14630"/>
    <n v="146300"/>
    <x v="2"/>
    <x v="0"/>
  </r>
  <r>
    <s v="INV-1428"/>
    <x v="49"/>
    <s v="Zahid Electronics"/>
    <x v="1"/>
    <x v="3"/>
    <s v="Pen"/>
    <n v="6"/>
    <n v="4120"/>
    <n v="24720"/>
    <x v="0"/>
    <x v="2"/>
  </r>
  <r>
    <s v="INV-1429"/>
    <x v="259"/>
    <s v="Ali Traders"/>
    <x v="3"/>
    <x v="0"/>
    <s v="Laptop"/>
    <n v="17"/>
    <n v="9496"/>
    <n v="161432"/>
    <x v="3"/>
    <x v="2"/>
  </r>
  <r>
    <s v="INV-1430"/>
    <x v="220"/>
    <s v="Ali Traders"/>
    <x v="1"/>
    <x v="0"/>
    <s v="Mobile"/>
    <n v="15"/>
    <n v="41186"/>
    <n v="617790"/>
    <x v="3"/>
    <x v="1"/>
  </r>
  <r>
    <s v="INV-1431"/>
    <x v="206"/>
    <s v="Ahmed Mart"/>
    <x v="3"/>
    <x v="2"/>
    <s v="Sugar"/>
    <n v="18"/>
    <n v="4876"/>
    <n v="87768"/>
    <x v="1"/>
    <x v="2"/>
  </r>
  <r>
    <s v="INV-1432"/>
    <x v="260"/>
    <s v="Usman Enterprises"/>
    <x v="2"/>
    <x v="3"/>
    <s v="Marker"/>
    <n v="9"/>
    <n v="30888"/>
    <n v="277992"/>
    <x v="1"/>
    <x v="2"/>
  </r>
  <r>
    <s v="INV-1433"/>
    <x v="128"/>
    <s v="Zahid Electronics"/>
    <x v="1"/>
    <x v="1"/>
    <s v="Shirt"/>
    <n v="16"/>
    <n v="24017"/>
    <n v="384272"/>
    <x v="1"/>
    <x v="2"/>
  </r>
  <r>
    <s v="INV-1434"/>
    <x v="261"/>
    <s v="Zahid Electronics"/>
    <x v="2"/>
    <x v="1"/>
    <s v="Shirt"/>
    <n v="19"/>
    <n v="30985"/>
    <n v="588715"/>
    <x v="2"/>
    <x v="0"/>
  </r>
  <r>
    <s v="INV-1435"/>
    <x v="115"/>
    <s v="Usman Enterprises"/>
    <x v="0"/>
    <x v="2"/>
    <s v="Oil"/>
    <n v="17"/>
    <n v="5694"/>
    <n v="96798"/>
    <x v="3"/>
    <x v="0"/>
  </r>
  <r>
    <s v="INV-1436"/>
    <x v="262"/>
    <s v="Ali Traders"/>
    <x v="0"/>
    <x v="1"/>
    <s v="Jeans"/>
    <n v="14"/>
    <n v="45562"/>
    <n v="637868"/>
    <x v="2"/>
    <x v="2"/>
  </r>
  <r>
    <s v="INV-1437"/>
    <x v="67"/>
    <s v="Usman Enterprises"/>
    <x v="0"/>
    <x v="1"/>
    <s v="Shirt"/>
    <n v="9"/>
    <n v="6524"/>
    <n v="58716"/>
    <x v="1"/>
    <x v="2"/>
  </r>
  <r>
    <s v="INV-1438"/>
    <x v="263"/>
    <s v="Usman Enterprises"/>
    <x v="3"/>
    <x v="3"/>
    <s v="Marker"/>
    <n v="9"/>
    <n v="6423"/>
    <n v="57807"/>
    <x v="1"/>
    <x v="0"/>
  </r>
  <r>
    <s v="INV-1439"/>
    <x v="226"/>
    <s v="Zahid Electronics"/>
    <x v="0"/>
    <x v="2"/>
    <s v="Sugar"/>
    <n v="8"/>
    <n v="41586"/>
    <n v="332688"/>
    <x v="1"/>
    <x v="2"/>
  </r>
  <r>
    <s v="INV-1440"/>
    <x v="35"/>
    <s v="Zahid Electronics"/>
    <x v="0"/>
    <x v="2"/>
    <s v="Rice"/>
    <n v="10"/>
    <n v="22009"/>
    <n v="220090"/>
    <x v="3"/>
    <x v="0"/>
  </r>
  <r>
    <s v="INV-1441"/>
    <x v="264"/>
    <s v="Ali Traders"/>
    <x v="0"/>
    <x v="0"/>
    <s v="Laptop"/>
    <n v="16"/>
    <n v="16092"/>
    <n v="257472"/>
    <x v="2"/>
    <x v="2"/>
  </r>
  <r>
    <s v="INV-1442"/>
    <x v="261"/>
    <s v="Ahmed Mart"/>
    <x v="1"/>
    <x v="1"/>
    <s v="Jacket"/>
    <n v="14"/>
    <n v="23750"/>
    <n v="332500"/>
    <x v="3"/>
    <x v="2"/>
  </r>
  <r>
    <s v="INV-1443"/>
    <x v="109"/>
    <s v="Zahid Electronics"/>
    <x v="0"/>
    <x v="3"/>
    <s v="Pen"/>
    <n v="1"/>
    <n v="48614"/>
    <n v="48614"/>
    <x v="2"/>
    <x v="0"/>
  </r>
  <r>
    <s v="INV-1444"/>
    <x v="265"/>
    <s v="Ahmed Mart"/>
    <x v="0"/>
    <x v="3"/>
    <s v="Marker"/>
    <n v="20"/>
    <n v="4426"/>
    <n v="88520"/>
    <x v="1"/>
    <x v="1"/>
  </r>
  <r>
    <s v="INV-1445"/>
    <x v="169"/>
    <s v="Usman Enterprises"/>
    <x v="0"/>
    <x v="0"/>
    <s v="Headphones"/>
    <n v="7"/>
    <n v="22254"/>
    <n v="155778"/>
    <x v="1"/>
    <x v="2"/>
  </r>
  <r>
    <s v="INV-1446"/>
    <x v="226"/>
    <s v="Usman Enterprises"/>
    <x v="3"/>
    <x v="3"/>
    <s v="Notebook"/>
    <n v="9"/>
    <n v="33750"/>
    <n v="303750"/>
    <x v="1"/>
    <x v="2"/>
  </r>
  <r>
    <s v="INV-1447"/>
    <x v="80"/>
    <s v="Ahmed Mart"/>
    <x v="3"/>
    <x v="3"/>
    <s v="Pen"/>
    <n v="13"/>
    <n v="43980"/>
    <n v="571740"/>
    <x v="3"/>
    <x v="0"/>
  </r>
  <r>
    <s v="INV-1448"/>
    <x v="30"/>
    <s v="Zahid Electronics"/>
    <x v="1"/>
    <x v="1"/>
    <s v="Jacket"/>
    <n v="4"/>
    <n v="30953"/>
    <n v="123812"/>
    <x v="2"/>
    <x v="0"/>
  </r>
  <r>
    <s v="INV-1449"/>
    <x v="91"/>
    <s v="Zahid Electronics"/>
    <x v="3"/>
    <x v="2"/>
    <s v="Rice"/>
    <n v="11"/>
    <n v="33723"/>
    <n v="370953"/>
    <x v="1"/>
    <x v="0"/>
  </r>
  <r>
    <s v="INV-1450"/>
    <x v="250"/>
    <s v="Ahmed Mart"/>
    <x v="1"/>
    <x v="0"/>
    <s v="Laptop"/>
    <n v="14"/>
    <n v="10349"/>
    <n v="144886"/>
    <x v="1"/>
    <x v="1"/>
  </r>
  <r>
    <s v="INV-1451"/>
    <x v="155"/>
    <s v="Khan Store"/>
    <x v="0"/>
    <x v="2"/>
    <s v="Oil"/>
    <n v="10"/>
    <n v="49339"/>
    <n v="493390"/>
    <x v="3"/>
    <x v="1"/>
  </r>
  <r>
    <s v="INV-1452"/>
    <x v="211"/>
    <s v="Zahid Electronics"/>
    <x v="2"/>
    <x v="0"/>
    <s v="Headphones"/>
    <n v="19"/>
    <n v="19353"/>
    <n v="367707"/>
    <x v="1"/>
    <x v="0"/>
  </r>
  <r>
    <s v="INV-1453"/>
    <x v="171"/>
    <s v="Ali Traders"/>
    <x v="0"/>
    <x v="0"/>
    <s v="Mobile"/>
    <n v="14"/>
    <n v="47656"/>
    <n v="667184"/>
    <x v="0"/>
    <x v="0"/>
  </r>
  <r>
    <s v="INV-1454"/>
    <x v="80"/>
    <s v="Zahid Electronics"/>
    <x v="0"/>
    <x v="2"/>
    <s v="Sugar"/>
    <n v="19"/>
    <n v="44095"/>
    <n v="837805"/>
    <x v="1"/>
    <x v="1"/>
  </r>
  <r>
    <s v="INV-1455"/>
    <x v="171"/>
    <s v="Zahid Electronics"/>
    <x v="1"/>
    <x v="1"/>
    <s v="Jeans"/>
    <n v="6"/>
    <n v="5641"/>
    <n v="33846"/>
    <x v="3"/>
    <x v="1"/>
  </r>
  <r>
    <s v="INV-1456"/>
    <x v="266"/>
    <s v="Ali Traders"/>
    <x v="0"/>
    <x v="3"/>
    <s v="Marker"/>
    <n v="15"/>
    <n v="16593"/>
    <n v="248895"/>
    <x v="0"/>
    <x v="0"/>
  </r>
  <r>
    <s v="INV-1457"/>
    <x v="178"/>
    <s v="Khan Store"/>
    <x v="1"/>
    <x v="3"/>
    <s v="Notebook"/>
    <n v="3"/>
    <n v="16341"/>
    <n v="49023"/>
    <x v="0"/>
    <x v="1"/>
  </r>
  <r>
    <s v="INV-1458"/>
    <x v="147"/>
    <s v="Usman Enterprises"/>
    <x v="2"/>
    <x v="3"/>
    <s v="Marker"/>
    <n v="7"/>
    <n v="41520"/>
    <n v="290640"/>
    <x v="0"/>
    <x v="2"/>
  </r>
  <r>
    <s v="INV-1459"/>
    <x v="132"/>
    <s v="Ahmed Mart"/>
    <x v="2"/>
    <x v="0"/>
    <s v="Mobile"/>
    <n v="11"/>
    <n v="21517"/>
    <n v="236687"/>
    <x v="0"/>
    <x v="1"/>
  </r>
  <r>
    <s v="INV-1460"/>
    <x v="267"/>
    <s v="Ali Traders"/>
    <x v="3"/>
    <x v="1"/>
    <s v="Shirt"/>
    <n v="9"/>
    <n v="36243"/>
    <n v="326187"/>
    <x v="0"/>
    <x v="0"/>
  </r>
  <r>
    <s v="INV-1461"/>
    <x v="268"/>
    <s v="Usman Enterprises"/>
    <x v="0"/>
    <x v="0"/>
    <s v="Mobile"/>
    <n v="12"/>
    <n v="45573"/>
    <n v="546876"/>
    <x v="1"/>
    <x v="2"/>
  </r>
  <r>
    <s v="INV-1462"/>
    <x v="86"/>
    <s v="Ali Traders"/>
    <x v="1"/>
    <x v="3"/>
    <s v="Marker"/>
    <n v="4"/>
    <n v="44519"/>
    <n v="178076"/>
    <x v="2"/>
    <x v="0"/>
  </r>
  <r>
    <s v="INV-1463"/>
    <x v="269"/>
    <s v="Usman Enterprises"/>
    <x v="0"/>
    <x v="3"/>
    <s v="Notebook"/>
    <n v="15"/>
    <n v="18824"/>
    <n v="282360"/>
    <x v="3"/>
    <x v="2"/>
  </r>
  <r>
    <s v="INV-1464"/>
    <x v="119"/>
    <s v="Zahid Electronics"/>
    <x v="1"/>
    <x v="2"/>
    <s v="Rice"/>
    <n v="14"/>
    <n v="25747"/>
    <n v="360458"/>
    <x v="0"/>
    <x v="0"/>
  </r>
  <r>
    <s v="INV-1465"/>
    <x v="46"/>
    <s v="Khan Store"/>
    <x v="1"/>
    <x v="3"/>
    <s v="Notebook"/>
    <n v="13"/>
    <n v="11718"/>
    <n v="152334"/>
    <x v="1"/>
    <x v="2"/>
  </r>
  <r>
    <s v="INV-1466"/>
    <x v="270"/>
    <s v="Khan Store"/>
    <x v="2"/>
    <x v="0"/>
    <s v="Mobile"/>
    <n v="12"/>
    <n v="32482"/>
    <n v="389784"/>
    <x v="1"/>
    <x v="2"/>
  </r>
  <r>
    <s v="INV-1467"/>
    <x v="271"/>
    <s v="Usman Enterprises"/>
    <x v="2"/>
    <x v="1"/>
    <s v="Jeans"/>
    <n v="15"/>
    <n v="33539"/>
    <n v="503085"/>
    <x v="2"/>
    <x v="1"/>
  </r>
  <r>
    <s v="INV-1468"/>
    <x v="54"/>
    <s v="Usman Enterprises"/>
    <x v="0"/>
    <x v="1"/>
    <s v="Jacket"/>
    <n v="13"/>
    <n v="49669"/>
    <n v="645697"/>
    <x v="3"/>
    <x v="1"/>
  </r>
  <r>
    <s v="INV-1469"/>
    <x v="255"/>
    <s v="Zahid Electronics"/>
    <x v="1"/>
    <x v="1"/>
    <s v="Jeans"/>
    <n v="4"/>
    <n v="20016"/>
    <n v="80064"/>
    <x v="1"/>
    <x v="2"/>
  </r>
  <r>
    <s v="INV-1470"/>
    <x v="272"/>
    <s v="Zahid Electronics"/>
    <x v="2"/>
    <x v="0"/>
    <s v="Mobile"/>
    <n v="1"/>
    <n v="8246"/>
    <n v="8246"/>
    <x v="3"/>
    <x v="2"/>
  </r>
  <r>
    <s v="INV-1471"/>
    <x v="75"/>
    <s v="Ahmed Mart"/>
    <x v="3"/>
    <x v="2"/>
    <s v="Rice"/>
    <n v="11"/>
    <n v="32574"/>
    <n v="358314"/>
    <x v="1"/>
    <x v="1"/>
  </r>
  <r>
    <s v="INV-1472"/>
    <x v="273"/>
    <s v="Ali Traders"/>
    <x v="2"/>
    <x v="3"/>
    <s v="Notebook"/>
    <n v="19"/>
    <n v="29730"/>
    <n v="564870"/>
    <x v="3"/>
    <x v="0"/>
  </r>
  <r>
    <s v="INV-1473"/>
    <x v="117"/>
    <s v="Zahid Electronics"/>
    <x v="3"/>
    <x v="2"/>
    <s v="Rice"/>
    <n v="16"/>
    <n v="44793"/>
    <n v="716688"/>
    <x v="0"/>
    <x v="1"/>
  </r>
  <r>
    <s v="INV-1474"/>
    <x v="179"/>
    <s v="Khan Store"/>
    <x v="0"/>
    <x v="1"/>
    <s v="Jacket"/>
    <n v="13"/>
    <n v="16892"/>
    <n v="219596"/>
    <x v="3"/>
    <x v="2"/>
  </r>
  <r>
    <s v="INV-1475"/>
    <x v="125"/>
    <s v="Usman Enterprises"/>
    <x v="3"/>
    <x v="1"/>
    <s v="Shirt"/>
    <n v="20"/>
    <n v="21195"/>
    <n v="423900"/>
    <x v="1"/>
    <x v="0"/>
  </r>
  <r>
    <s v="INV-1476"/>
    <x v="274"/>
    <s v="Khan Store"/>
    <x v="0"/>
    <x v="2"/>
    <s v="Sugar"/>
    <n v="12"/>
    <n v="30040"/>
    <n v="360480"/>
    <x v="3"/>
    <x v="1"/>
  </r>
  <r>
    <s v="INV-1477"/>
    <x v="182"/>
    <s v="Usman Enterprises"/>
    <x v="3"/>
    <x v="0"/>
    <s v="Mobile"/>
    <n v="13"/>
    <n v="41529"/>
    <n v="539877"/>
    <x v="1"/>
    <x v="2"/>
  </r>
  <r>
    <s v="INV-1478"/>
    <x v="150"/>
    <s v="Ahmed Mart"/>
    <x v="0"/>
    <x v="1"/>
    <s v="Shirt"/>
    <n v="15"/>
    <n v="6671"/>
    <n v="100065"/>
    <x v="2"/>
    <x v="1"/>
  </r>
  <r>
    <s v="INV-1479"/>
    <x v="55"/>
    <s v="Khan Store"/>
    <x v="1"/>
    <x v="3"/>
    <s v="Marker"/>
    <n v="1"/>
    <n v="8168"/>
    <n v="8168"/>
    <x v="1"/>
    <x v="2"/>
  </r>
  <r>
    <s v="INV-1480"/>
    <x v="163"/>
    <s v="Ahmed Mart"/>
    <x v="1"/>
    <x v="2"/>
    <s v="Oil"/>
    <n v="5"/>
    <n v="26772"/>
    <n v="133860"/>
    <x v="3"/>
    <x v="0"/>
  </r>
  <r>
    <s v="INV-1481"/>
    <x v="100"/>
    <s v="Ahmed Mart"/>
    <x v="1"/>
    <x v="2"/>
    <s v="Sugar"/>
    <n v="1"/>
    <n v="30016"/>
    <n v="30016"/>
    <x v="2"/>
    <x v="0"/>
  </r>
  <r>
    <s v="INV-1482"/>
    <x v="194"/>
    <s v="Ali Traders"/>
    <x v="1"/>
    <x v="0"/>
    <s v="Mobile"/>
    <n v="15"/>
    <n v="41711"/>
    <n v="625665"/>
    <x v="1"/>
    <x v="2"/>
  </r>
  <r>
    <s v="INV-1483"/>
    <x v="275"/>
    <s v="Ali Traders"/>
    <x v="2"/>
    <x v="3"/>
    <s v="Pen"/>
    <n v="6"/>
    <n v="9352"/>
    <n v="56112"/>
    <x v="3"/>
    <x v="1"/>
  </r>
  <r>
    <s v="INV-1484"/>
    <x v="276"/>
    <s v="Usman Enterprises"/>
    <x v="3"/>
    <x v="0"/>
    <s v="Mobile"/>
    <n v="1"/>
    <n v="42208"/>
    <n v="42208"/>
    <x v="1"/>
    <x v="2"/>
  </r>
  <r>
    <s v="INV-1485"/>
    <x v="116"/>
    <s v="Khan Store"/>
    <x v="1"/>
    <x v="2"/>
    <s v="Rice"/>
    <n v="18"/>
    <n v="47729"/>
    <n v="859122"/>
    <x v="1"/>
    <x v="1"/>
  </r>
  <r>
    <s v="INV-1486"/>
    <x v="277"/>
    <s v="Ahmed Mart"/>
    <x v="1"/>
    <x v="2"/>
    <s v="Rice"/>
    <n v="16"/>
    <n v="36413"/>
    <n v="582608"/>
    <x v="1"/>
    <x v="1"/>
  </r>
  <r>
    <s v="INV-1487"/>
    <x v="47"/>
    <s v="Zahid Electronics"/>
    <x v="1"/>
    <x v="1"/>
    <s v="Jacket"/>
    <n v="16"/>
    <n v="35877"/>
    <n v="574032"/>
    <x v="0"/>
    <x v="2"/>
  </r>
  <r>
    <s v="INV-1488"/>
    <x v="278"/>
    <s v="Ahmed Mart"/>
    <x v="0"/>
    <x v="1"/>
    <s v="Shirt"/>
    <n v="11"/>
    <n v="24576"/>
    <n v="270336"/>
    <x v="0"/>
    <x v="2"/>
  </r>
  <r>
    <s v="INV-1489"/>
    <x v="247"/>
    <s v="Ali Traders"/>
    <x v="2"/>
    <x v="1"/>
    <s v="Jeans"/>
    <n v="8"/>
    <n v="17354"/>
    <n v="138832"/>
    <x v="2"/>
    <x v="1"/>
  </r>
  <r>
    <s v="INV-1490"/>
    <x v="46"/>
    <s v="Zahid Electronics"/>
    <x v="2"/>
    <x v="1"/>
    <s v="Jeans"/>
    <n v="8"/>
    <n v="3385"/>
    <n v="27080"/>
    <x v="2"/>
    <x v="0"/>
  </r>
  <r>
    <s v="INV-1491"/>
    <x v="176"/>
    <s v="Zahid Electronics"/>
    <x v="1"/>
    <x v="3"/>
    <s v="Pen"/>
    <n v="2"/>
    <n v="20361"/>
    <n v="40722"/>
    <x v="0"/>
    <x v="2"/>
  </r>
  <r>
    <s v="INV-1492"/>
    <x v="279"/>
    <s v="Ali Traders"/>
    <x v="0"/>
    <x v="2"/>
    <s v="Oil"/>
    <n v="11"/>
    <n v="6944"/>
    <n v="76384"/>
    <x v="3"/>
    <x v="1"/>
  </r>
  <r>
    <s v="INV-1493"/>
    <x v="115"/>
    <s v="Zahid Electronics"/>
    <x v="0"/>
    <x v="3"/>
    <s v="Marker"/>
    <n v="4"/>
    <n v="45744"/>
    <n v="182976"/>
    <x v="0"/>
    <x v="2"/>
  </r>
  <r>
    <s v="INV-1494"/>
    <x v="280"/>
    <s v="Zahid Electronics"/>
    <x v="3"/>
    <x v="0"/>
    <s v="Headphones"/>
    <n v="4"/>
    <n v="48267"/>
    <n v="193068"/>
    <x v="1"/>
    <x v="0"/>
  </r>
  <r>
    <s v="INV-1495"/>
    <x v="275"/>
    <s v="Ali Traders"/>
    <x v="3"/>
    <x v="1"/>
    <s v="Jacket"/>
    <n v="6"/>
    <n v="47544"/>
    <n v="285264"/>
    <x v="3"/>
    <x v="2"/>
  </r>
  <r>
    <s v="INV-1496"/>
    <x v="281"/>
    <s v="Ahmed Mart"/>
    <x v="2"/>
    <x v="1"/>
    <s v="Jeans"/>
    <n v="20"/>
    <n v="34170"/>
    <n v="683400"/>
    <x v="0"/>
    <x v="1"/>
  </r>
  <r>
    <s v="INV-1497"/>
    <x v="282"/>
    <s v="Khan Store"/>
    <x v="1"/>
    <x v="0"/>
    <s v="Headphones"/>
    <n v="20"/>
    <n v="49959"/>
    <n v="999180"/>
    <x v="0"/>
    <x v="2"/>
  </r>
  <r>
    <s v="INV-1498"/>
    <x v="174"/>
    <s v="Zahid Electronics"/>
    <x v="3"/>
    <x v="0"/>
    <s v="Mobile"/>
    <n v="7"/>
    <n v="1417"/>
    <n v="9919"/>
    <x v="3"/>
    <x v="1"/>
  </r>
  <r>
    <s v="INV-1499"/>
    <x v="283"/>
    <s v="Ahmed Mart"/>
    <x v="0"/>
    <x v="1"/>
    <s v="Shirt"/>
    <n v="4"/>
    <n v="45164"/>
    <n v="180656"/>
    <x v="0"/>
    <x v="0"/>
  </r>
  <r>
    <s v="INV-1500"/>
    <x v="231"/>
    <s v="Ali Traders"/>
    <x v="1"/>
    <x v="2"/>
    <s v="Sugar"/>
    <n v="8"/>
    <n v="4304"/>
    <n v="34432"/>
    <x v="1"/>
    <x v="2"/>
  </r>
  <r>
    <s v="INV-1501"/>
    <x v="284"/>
    <s v="Ahmed Mart"/>
    <x v="2"/>
    <x v="2"/>
    <s v="Sugar"/>
    <n v="12"/>
    <n v="33802"/>
    <n v="405624"/>
    <x v="1"/>
    <x v="0"/>
  </r>
  <r>
    <s v="INV-1502"/>
    <x v="280"/>
    <s v="Ali Traders"/>
    <x v="2"/>
    <x v="2"/>
    <s v="Sugar"/>
    <n v="17"/>
    <n v="30589"/>
    <n v="520013"/>
    <x v="3"/>
    <x v="2"/>
  </r>
  <r>
    <s v="INV-1503"/>
    <x v="285"/>
    <s v="Ali Traders"/>
    <x v="0"/>
    <x v="0"/>
    <s v="Laptop"/>
    <n v="9"/>
    <n v="43153"/>
    <n v="388377"/>
    <x v="2"/>
    <x v="1"/>
  </r>
  <r>
    <s v="INV-1504"/>
    <x v="40"/>
    <s v="Zahid Electronics"/>
    <x v="2"/>
    <x v="2"/>
    <s v="Rice"/>
    <n v="16"/>
    <n v="29654"/>
    <n v="474464"/>
    <x v="0"/>
    <x v="0"/>
  </r>
  <r>
    <s v="INV-1505"/>
    <x v="286"/>
    <s v="Ali Traders"/>
    <x v="1"/>
    <x v="2"/>
    <s v="Sugar"/>
    <n v="12"/>
    <n v="9218"/>
    <n v="110616"/>
    <x v="1"/>
    <x v="1"/>
  </r>
  <r>
    <s v="INV-1506"/>
    <x v="38"/>
    <s v="Usman Enterprises"/>
    <x v="2"/>
    <x v="3"/>
    <s v="Notebook"/>
    <n v="9"/>
    <n v="41820"/>
    <n v="376380"/>
    <x v="2"/>
    <x v="1"/>
  </r>
  <r>
    <s v="INV-1507"/>
    <x v="118"/>
    <s v="Zahid Electronics"/>
    <x v="1"/>
    <x v="3"/>
    <s v="Pen"/>
    <n v="18"/>
    <n v="40527"/>
    <n v="729486"/>
    <x v="2"/>
    <x v="2"/>
  </r>
  <r>
    <s v="INV-1508"/>
    <x v="116"/>
    <s v="Zahid Electronics"/>
    <x v="0"/>
    <x v="3"/>
    <s v="Marker"/>
    <n v="2"/>
    <n v="37082"/>
    <n v="74164"/>
    <x v="1"/>
    <x v="0"/>
  </r>
  <r>
    <s v="INV-1509"/>
    <x v="287"/>
    <s v="Ahmed Mart"/>
    <x v="1"/>
    <x v="1"/>
    <s v="Shirt"/>
    <n v="10"/>
    <n v="27281"/>
    <n v="272810"/>
    <x v="3"/>
    <x v="1"/>
  </r>
  <r>
    <s v="INV-1510"/>
    <x v="268"/>
    <s v="Ali Traders"/>
    <x v="0"/>
    <x v="0"/>
    <s v="Mobile"/>
    <n v="11"/>
    <n v="17268"/>
    <n v="189948"/>
    <x v="3"/>
    <x v="0"/>
  </r>
  <r>
    <s v="INV-1511"/>
    <x v="4"/>
    <s v="Ali Traders"/>
    <x v="3"/>
    <x v="3"/>
    <s v="Marker"/>
    <n v="14"/>
    <n v="14281"/>
    <n v="199934"/>
    <x v="2"/>
    <x v="1"/>
  </r>
  <r>
    <s v="INV-1512"/>
    <x v="223"/>
    <s v="Zahid Electronics"/>
    <x v="3"/>
    <x v="0"/>
    <s v="Laptop"/>
    <n v="19"/>
    <n v="43945"/>
    <n v="834955"/>
    <x v="1"/>
    <x v="0"/>
  </r>
  <r>
    <s v="INV-1513"/>
    <x v="288"/>
    <s v="Ahmed Mart"/>
    <x v="3"/>
    <x v="0"/>
    <s v="Headphones"/>
    <n v="13"/>
    <n v="34637"/>
    <n v="450281"/>
    <x v="1"/>
    <x v="0"/>
  </r>
  <r>
    <s v="INV-1514"/>
    <x v="217"/>
    <s v="Ali Traders"/>
    <x v="2"/>
    <x v="3"/>
    <s v="Notebook"/>
    <n v="20"/>
    <n v="19305"/>
    <n v="386100"/>
    <x v="3"/>
    <x v="1"/>
  </r>
  <r>
    <s v="INV-1515"/>
    <x v="256"/>
    <s v="Zahid Electronics"/>
    <x v="0"/>
    <x v="3"/>
    <s v="Marker"/>
    <n v="11"/>
    <n v="21432"/>
    <n v="235752"/>
    <x v="1"/>
    <x v="2"/>
  </r>
  <r>
    <s v="INV-1516"/>
    <x v="156"/>
    <s v="Zahid Electronics"/>
    <x v="2"/>
    <x v="3"/>
    <s v="Notebook"/>
    <n v="9"/>
    <n v="34749"/>
    <n v="312741"/>
    <x v="1"/>
    <x v="2"/>
  </r>
  <r>
    <s v="INV-1517"/>
    <x v="2"/>
    <s v="Usman Enterprises"/>
    <x v="1"/>
    <x v="2"/>
    <s v="Rice"/>
    <n v="18"/>
    <n v="9802"/>
    <n v="176436"/>
    <x v="2"/>
    <x v="1"/>
  </r>
  <r>
    <s v="INV-1518"/>
    <x v="213"/>
    <s v="Khan Store"/>
    <x v="1"/>
    <x v="1"/>
    <s v="Shirt"/>
    <n v="5"/>
    <n v="32973"/>
    <n v="164865"/>
    <x v="0"/>
    <x v="2"/>
  </r>
  <r>
    <s v="INV-1519"/>
    <x v="134"/>
    <s v="Zahid Electronics"/>
    <x v="0"/>
    <x v="1"/>
    <s v="Jacket"/>
    <n v="15"/>
    <n v="36334"/>
    <n v="545010"/>
    <x v="0"/>
    <x v="2"/>
  </r>
  <r>
    <s v="INV-1520"/>
    <x v="64"/>
    <s v="Zahid Electronics"/>
    <x v="1"/>
    <x v="3"/>
    <s v="Pen"/>
    <n v="11"/>
    <n v="24672"/>
    <n v="271392"/>
    <x v="0"/>
    <x v="0"/>
  </r>
  <r>
    <s v="INV-1521"/>
    <x v="289"/>
    <s v="Ali Traders"/>
    <x v="0"/>
    <x v="0"/>
    <s v="Mobile"/>
    <n v="6"/>
    <n v="14085"/>
    <n v="84510"/>
    <x v="0"/>
    <x v="2"/>
  </r>
  <r>
    <s v="INV-1522"/>
    <x v="134"/>
    <s v="Khan Store"/>
    <x v="2"/>
    <x v="1"/>
    <s v="Jeans"/>
    <n v="17"/>
    <n v="17654"/>
    <n v="300118"/>
    <x v="2"/>
    <x v="0"/>
  </r>
  <r>
    <s v="INV-1523"/>
    <x v="290"/>
    <s v="Khan Store"/>
    <x v="1"/>
    <x v="3"/>
    <s v="Marker"/>
    <n v="5"/>
    <n v="1593"/>
    <n v="7965"/>
    <x v="0"/>
    <x v="2"/>
  </r>
  <r>
    <s v="INV-1524"/>
    <x v="61"/>
    <s v="Ahmed Mart"/>
    <x v="0"/>
    <x v="0"/>
    <s v="Headphones"/>
    <n v="1"/>
    <n v="7074"/>
    <n v="7074"/>
    <x v="1"/>
    <x v="0"/>
  </r>
  <r>
    <s v="INV-1525"/>
    <x v="148"/>
    <s v="Khan Store"/>
    <x v="2"/>
    <x v="0"/>
    <s v="Headphones"/>
    <n v="13"/>
    <n v="45419"/>
    <n v="590447"/>
    <x v="3"/>
    <x v="1"/>
  </r>
  <r>
    <s v="INV-1526"/>
    <x v="19"/>
    <s v="Zahid Electronics"/>
    <x v="0"/>
    <x v="0"/>
    <s v="Laptop"/>
    <n v="5"/>
    <n v="13882"/>
    <n v="69410"/>
    <x v="3"/>
    <x v="1"/>
  </r>
  <r>
    <s v="INV-1527"/>
    <x v="93"/>
    <s v="Usman Enterprises"/>
    <x v="1"/>
    <x v="1"/>
    <s v="Jeans"/>
    <n v="14"/>
    <n v="15985"/>
    <n v="223790"/>
    <x v="3"/>
    <x v="2"/>
  </r>
  <r>
    <s v="INV-1528"/>
    <x v="191"/>
    <s v="Zahid Electronics"/>
    <x v="0"/>
    <x v="0"/>
    <s v="Headphones"/>
    <n v="8"/>
    <n v="47448"/>
    <n v="379584"/>
    <x v="2"/>
    <x v="2"/>
  </r>
  <r>
    <s v="INV-1529"/>
    <x v="79"/>
    <s v="Usman Enterprises"/>
    <x v="2"/>
    <x v="1"/>
    <s v="Jacket"/>
    <n v="20"/>
    <n v="47044"/>
    <n v="940880"/>
    <x v="0"/>
    <x v="0"/>
  </r>
  <r>
    <s v="INV-1530"/>
    <x v="269"/>
    <s v="Ali Traders"/>
    <x v="3"/>
    <x v="2"/>
    <s v="Rice"/>
    <n v="17"/>
    <n v="30983"/>
    <n v="526711"/>
    <x v="0"/>
    <x v="1"/>
  </r>
  <r>
    <s v="INV-1531"/>
    <x v="122"/>
    <s v="Ali Traders"/>
    <x v="0"/>
    <x v="0"/>
    <s v="Laptop"/>
    <n v="19"/>
    <n v="24034"/>
    <n v="456646"/>
    <x v="2"/>
    <x v="0"/>
  </r>
  <r>
    <s v="INV-1532"/>
    <x v="168"/>
    <s v="Usman Enterprises"/>
    <x v="1"/>
    <x v="1"/>
    <s v="Shirt"/>
    <n v="15"/>
    <n v="22623"/>
    <n v="339345"/>
    <x v="2"/>
    <x v="1"/>
  </r>
  <r>
    <s v="INV-1533"/>
    <x v="239"/>
    <s v="Ali Traders"/>
    <x v="1"/>
    <x v="0"/>
    <s v="Headphones"/>
    <n v="6"/>
    <n v="38241"/>
    <n v="229446"/>
    <x v="2"/>
    <x v="2"/>
  </r>
  <r>
    <s v="INV-1534"/>
    <x v="241"/>
    <s v="Usman Enterprises"/>
    <x v="3"/>
    <x v="1"/>
    <s v="Shirt"/>
    <n v="9"/>
    <n v="21550"/>
    <n v="193950"/>
    <x v="3"/>
    <x v="1"/>
  </r>
  <r>
    <s v="INV-1535"/>
    <x v="247"/>
    <s v="Khan Store"/>
    <x v="2"/>
    <x v="0"/>
    <s v="Headphones"/>
    <n v="2"/>
    <n v="7265"/>
    <n v="14530"/>
    <x v="0"/>
    <x v="2"/>
  </r>
  <r>
    <s v="INV-1536"/>
    <x v="155"/>
    <s v="Ali Traders"/>
    <x v="1"/>
    <x v="2"/>
    <s v="Rice"/>
    <n v="19"/>
    <n v="9330"/>
    <n v="177270"/>
    <x v="0"/>
    <x v="2"/>
  </r>
  <r>
    <s v="INV-1537"/>
    <x v="291"/>
    <s v="Zahid Electronics"/>
    <x v="3"/>
    <x v="0"/>
    <s v="Laptop"/>
    <n v="16"/>
    <n v="2948"/>
    <n v="47168"/>
    <x v="0"/>
    <x v="1"/>
  </r>
  <r>
    <s v="INV-1538"/>
    <x v="270"/>
    <s v="Usman Enterprises"/>
    <x v="3"/>
    <x v="3"/>
    <s v="Marker"/>
    <n v="7"/>
    <n v="4401"/>
    <n v="30807"/>
    <x v="2"/>
    <x v="2"/>
  </r>
  <r>
    <s v="INV-1539"/>
    <x v="165"/>
    <s v="Khan Store"/>
    <x v="3"/>
    <x v="0"/>
    <s v="Laptop"/>
    <n v="17"/>
    <n v="40487"/>
    <n v="688279"/>
    <x v="0"/>
    <x v="1"/>
  </r>
  <r>
    <s v="INV-1540"/>
    <x v="177"/>
    <s v="Zahid Electronics"/>
    <x v="0"/>
    <x v="2"/>
    <s v="Oil"/>
    <n v="19"/>
    <n v="22546"/>
    <n v="428374"/>
    <x v="2"/>
    <x v="0"/>
  </r>
  <r>
    <s v="INV-1541"/>
    <x v="85"/>
    <s v="Usman Enterprises"/>
    <x v="1"/>
    <x v="2"/>
    <s v="Rice"/>
    <n v="8"/>
    <n v="41522"/>
    <n v="332176"/>
    <x v="3"/>
    <x v="1"/>
  </r>
  <r>
    <s v="INV-1542"/>
    <x v="188"/>
    <s v="Zahid Electronics"/>
    <x v="2"/>
    <x v="1"/>
    <s v="Jeans"/>
    <n v="17"/>
    <n v="10361"/>
    <n v="176137"/>
    <x v="2"/>
    <x v="1"/>
  </r>
  <r>
    <s v="INV-1543"/>
    <x v="170"/>
    <s v="Khan Store"/>
    <x v="1"/>
    <x v="0"/>
    <s v="Mobile"/>
    <n v="9"/>
    <n v="17697"/>
    <n v="159273"/>
    <x v="1"/>
    <x v="1"/>
  </r>
  <r>
    <s v="INV-1544"/>
    <x v="12"/>
    <s v="Zahid Electronics"/>
    <x v="3"/>
    <x v="0"/>
    <s v="Mobile"/>
    <n v="7"/>
    <n v="22233"/>
    <n v="155631"/>
    <x v="1"/>
    <x v="0"/>
  </r>
  <r>
    <s v="INV-1545"/>
    <x v="9"/>
    <s v="Khan Store"/>
    <x v="2"/>
    <x v="3"/>
    <s v="Marker"/>
    <n v="2"/>
    <n v="23733"/>
    <n v="47466"/>
    <x v="0"/>
    <x v="1"/>
  </r>
  <r>
    <s v="INV-1546"/>
    <x v="174"/>
    <s v="Usman Enterprises"/>
    <x v="1"/>
    <x v="1"/>
    <s v="Jacket"/>
    <n v="8"/>
    <n v="2664"/>
    <n v="21312"/>
    <x v="3"/>
    <x v="2"/>
  </r>
  <r>
    <s v="INV-1547"/>
    <x v="292"/>
    <s v="Ali Traders"/>
    <x v="1"/>
    <x v="1"/>
    <s v="Jeans"/>
    <n v="4"/>
    <n v="29341"/>
    <n v="117364"/>
    <x v="2"/>
    <x v="2"/>
  </r>
  <r>
    <s v="INV-1548"/>
    <x v="77"/>
    <s v="Ali Traders"/>
    <x v="0"/>
    <x v="3"/>
    <s v="Marker"/>
    <n v="14"/>
    <n v="35025"/>
    <n v="490350"/>
    <x v="0"/>
    <x v="0"/>
  </r>
  <r>
    <s v="INV-1549"/>
    <x v="28"/>
    <s v="Zahid Electronics"/>
    <x v="0"/>
    <x v="2"/>
    <s v="Rice"/>
    <n v="19"/>
    <n v="596"/>
    <n v="11324"/>
    <x v="0"/>
    <x v="1"/>
  </r>
  <r>
    <s v="INV-1550"/>
    <x v="248"/>
    <s v="Khan Store"/>
    <x v="3"/>
    <x v="2"/>
    <s v="Oil"/>
    <n v="20"/>
    <n v="40009"/>
    <n v="800180"/>
    <x v="1"/>
    <x v="1"/>
  </r>
  <r>
    <s v="INV-1551"/>
    <x v="236"/>
    <s v="Ahmed Mart"/>
    <x v="2"/>
    <x v="3"/>
    <s v="Pen"/>
    <n v="18"/>
    <n v="28324"/>
    <n v="509832"/>
    <x v="3"/>
    <x v="0"/>
  </r>
  <r>
    <s v="INV-1552"/>
    <x v="138"/>
    <s v="Usman Enterprises"/>
    <x v="3"/>
    <x v="0"/>
    <s v="Headphones"/>
    <n v="18"/>
    <n v="38077"/>
    <n v="685386"/>
    <x v="0"/>
    <x v="0"/>
  </r>
  <r>
    <s v="INV-1553"/>
    <x v="293"/>
    <s v="Khan Store"/>
    <x v="3"/>
    <x v="1"/>
    <s v="Shirt"/>
    <n v="1"/>
    <n v="30927"/>
    <n v="30927"/>
    <x v="1"/>
    <x v="0"/>
  </r>
  <r>
    <s v="INV-1554"/>
    <x v="294"/>
    <s v="Ahmed Mart"/>
    <x v="0"/>
    <x v="0"/>
    <s v="Laptop"/>
    <n v="18"/>
    <n v="28888"/>
    <n v="519984"/>
    <x v="1"/>
    <x v="0"/>
  </r>
  <r>
    <s v="INV-1555"/>
    <x v="128"/>
    <s v="Zahid Electronics"/>
    <x v="0"/>
    <x v="2"/>
    <s v="Rice"/>
    <n v="9"/>
    <n v="38345"/>
    <n v="345105"/>
    <x v="0"/>
    <x v="0"/>
  </r>
  <r>
    <s v="INV-1556"/>
    <x v="217"/>
    <s v="Ahmed Mart"/>
    <x v="1"/>
    <x v="0"/>
    <s v="Headphones"/>
    <n v="12"/>
    <n v="10911"/>
    <n v="130932"/>
    <x v="3"/>
    <x v="2"/>
  </r>
  <r>
    <s v="INV-1557"/>
    <x v="3"/>
    <s v="Zahid Electronics"/>
    <x v="0"/>
    <x v="2"/>
    <s v="Sugar"/>
    <n v="3"/>
    <n v="18463"/>
    <n v="55389"/>
    <x v="3"/>
    <x v="1"/>
  </r>
  <r>
    <s v="INV-1558"/>
    <x v="22"/>
    <s v="Usman Enterprises"/>
    <x v="0"/>
    <x v="2"/>
    <s v="Rice"/>
    <n v="3"/>
    <n v="45943"/>
    <n v="137829"/>
    <x v="2"/>
    <x v="0"/>
  </r>
  <r>
    <s v="INV-1559"/>
    <x v="186"/>
    <s v="Ali Traders"/>
    <x v="0"/>
    <x v="2"/>
    <s v="Rice"/>
    <n v="8"/>
    <n v="45557"/>
    <n v="364456"/>
    <x v="2"/>
    <x v="2"/>
  </r>
  <r>
    <s v="INV-1560"/>
    <x v="295"/>
    <s v="Usman Enterprises"/>
    <x v="2"/>
    <x v="0"/>
    <s v="Headphones"/>
    <n v="15"/>
    <n v="35944"/>
    <n v="539160"/>
    <x v="3"/>
    <x v="0"/>
  </r>
  <r>
    <s v="INV-1561"/>
    <x v="55"/>
    <s v="Ahmed Mart"/>
    <x v="1"/>
    <x v="1"/>
    <s v="Jeans"/>
    <n v="17"/>
    <n v="35834"/>
    <n v="609178"/>
    <x v="3"/>
    <x v="1"/>
  </r>
  <r>
    <s v="INV-1562"/>
    <x v="283"/>
    <s v="Usman Enterprises"/>
    <x v="2"/>
    <x v="2"/>
    <s v="Rice"/>
    <n v="8"/>
    <n v="23766"/>
    <n v="190128"/>
    <x v="3"/>
    <x v="1"/>
  </r>
  <r>
    <s v="INV-1563"/>
    <x v="284"/>
    <s v="Ahmed Mart"/>
    <x v="3"/>
    <x v="2"/>
    <s v="Sugar"/>
    <n v="13"/>
    <n v="32103"/>
    <n v="417339"/>
    <x v="2"/>
    <x v="0"/>
  </r>
  <r>
    <s v="INV-1564"/>
    <x v="87"/>
    <s v="Khan Store"/>
    <x v="2"/>
    <x v="0"/>
    <s v="Mobile"/>
    <n v="4"/>
    <n v="30457"/>
    <n v="121828"/>
    <x v="2"/>
    <x v="0"/>
  </r>
  <r>
    <s v="INV-1565"/>
    <x v="296"/>
    <s v="Zahid Electronics"/>
    <x v="2"/>
    <x v="2"/>
    <s v="Oil"/>
    <n v="11"/>
    <n v="26088"/>
    <n v="286968"/>
    <x v="1"/>
    <x v="0"/>
  </r>
  <r>
    <s v="INV-1566"/>
    <x v="82"/>
    <s v="Zahid Electronics"/>
    <x v="3"/>
    <x v="1"/>
    <s v="Shirt"/>
    <n v="14"/>
    <n v="8791"/>
    <n v="123074"/>
    <x v="2"/>
    <x v="2"/>
  </r>
  <r>
    <s v="INV-1567"/>
    <x v="137"/>
    <s v="Zahid Electronics"/>
    <x v="0"/>
    <x v="0"/>
    <s v="Laptop"/>
    <n v="19"/>
    <n v="10634"/>
    <n v="202046"/>
    <x v="3"/>
    <x v="2"/>
  </r>
  <r>
    <s v="INV-1568"/>
    <x v="20"/>
    <s v="Usman Enterprises"/>
    <x v="0"/>
    <x v="0"/>
    <s v="Mobile"/>
    <n v="20"/>
    <n v="10865"/>
    <n v="217300"/>
    <x v="0"/>
    <x v="2"/>
  </r>
  <r>
    <s v="INV-1569"/>
    <x v="249"/>
    <s v="Ali Traders"/>
    <x v="2"/>
    <x v="1"/>
    <s v="Shirt"/>
    <n v="4"/>
    <n v="20224"/>
    <n v="80896"/>
    <x v="2"/>
    <x v="0"/>
  </r>
  <r>
    <s v="INV-1570"/>
    <x v="254"/>
    <s v="Zahid Electronics"/>
    <x v="0"/>
    <x v="1"/>
    <s v="Jeans"/>
    <n v="17"/>
    <n v="12212"/>
    <n v="207604"/>
    <x v="0"/>
    <x v="1"/>
  </r>
  <r>
    <s v="INV-1571"/>
    <x v="74"/>
    <s v="Zahid Electronics"/>
    <x v="1"/>
    <x v="1"/>
    <s v="Jacket"/>
    <n v="8"/>
    <n v="23152"/>
    <n v="185216"/>
    <x v="3"/>
    <x v="1"/>
  </r>
  <r>
    <s v="INV-1572"/>
    <x v="297"/>
    <s v="Khan Store"/>
    <x v="3"/>
    <x v="1"/>
    <s v="Jacket"/>
    <n v="5"/>
    <n v="23959"/>
    <n v="119795"/>
    <x v="3"/>
    <x v="1"/>
  </r>
  <r>
    <s v="INV-1573"/>
    <x v="234"/>
    <s v="Ahmed Mart"/>
    <x v="3"/>
    <x v="3"/>
    <s v="Notebook"/>
    <n v="8"/>
    <n v="25595"/>
    <n v="204760"/>
    <x v="0"/>
    <x v="0"/>
  </r>
  <r>
    <s v="INV-1574"/>
    <x v="298"/>
    <s v="Khan Store"/>
    <x v="3"/>
    <x v="0"/>
    <s v="Mobile"/>
    <n v="16"/>
    <n v="7297"/>
    <n v="116752"/>
    <x v="3"/>
    <x v="0"/>
  </r>
  <r>
    <s v="INV-1575"/>
    <x v="222"/>
    <s v="Usman Enterprises"/>
    <x v="3"/>
    <x v="1"/>
    <s v="Jeans"/>
    <n v="17"/>
    <n v="3876"/>
    <n v="65892"/>
    <x v="3"/>
    <x v="1"/>
  </r>
  <r>
    <s v="INV-1576"/>
    <x v="243"/>
    <s v="Zahid Electronics"/>
    <x v="2"/>
    <x v="0"/>
    <s v="Mobile"/>
    <n v="9"/>
    <n v="46704"/>
    <n v="420336"/>
    <x v="2"/>
    <x v="2"/>
  </r>
  <r>
    <s v="INV-1577"/>
    <x v="299"/>
    <s v="Usman Enterprises"/>
    <x v="3"/>
    <x v="2"/>
    <s v="Oil"/>
    <n v="9"/>
    <n v="45304"/>
    <n v="407736"/>
    <x v="1"/>
    <x v="0"/>
  </r>
  <r>
    <s v="INV-1578"/>
    <x v="258"/>
    <s v="Ali Traders"/>
    <x v="1"/>
    <x v="2"/>
    <s v="Rice"/>
    <n v="19"/>
    <n v="8067"/>
    <n v="153273"/>
    <x v="0"/>
    <x v="1"/>
  </r>
  <r>
    <s v="INV-1579"/>
    <x v="112"/>
    <s v="Ahmed Mart"/>
    <x v="0"/>
    <x v="1"/>
    <s v="Jacket"/>
    <n v="10"/>
    <n v="11188"/>
    <n v="111880"/>
    <x v="0"/>
    <x v="2"/>
  </r>
  <r>
    <s v="INV-1580"/>
    <x v="56"/>
    <s v="Zahid Electronics"/>
    <x v="1"/>
    <x v="0"/>
    <s v="Headphones"/>
    <n v="18"/>
    <n v="9665"/>
    <n v="173970"/>
    <x v="0"/>
    <x v="2"/>
  </r>
  <r>
    <s v="INV-1581"/>
    <x v="155"/>
    <s v="Usman Enterprises"/>
    <x v="3"/>
    <x v="0"/>
    <s v="Laptop"/>
    <n v="3"/>
    <n v="5940"/>
    <n v="17820"/>
    <x v="1"/>
    <x v="0"/>
  </r>
  <r>
    <s v="INV-1582"/>
    <x v="17"/>
    <s v="Khan Store"/>
    <x v="3"/>
    <x v="3"/>
    <s v="Notebook"/>
    <n v="14"/>
    <n v="553"/>
    <n v="7742"/>
    <x v="1"/>
    <x v="1"/>
  </r>
  <r>
    <s v="INV-1583"/>
    <x v="0"/>
    <s v="Ali Traders"/>
    <x v="0"/>
    <x v="2"/>
    <s v="Rice"/>
    <n v="8"/>
    <n v="15679"/>
    <n v="125432"/>
    <x v="1"/>
    <x v="1"/>
  </r>
  <r>
    <s v="INV-1584"/>
    <x v="100"/>
    <s v="Usman Enterprises"/>
    <x v="0"/>
    <x v="3"/>
    <s v="Pen"/>
    <n v="2"/>
    <n v="26901"/>
    <n v="53802"/>
    <x v="0"/>
    <x v="0"/>
  </r>
  <r>
    <s v="INV-1585"/>
    <x v="300"/>
    <s v="Usman Enterprises"/>
    <x v="0"/>
    <x v="1"/>
    <s v="Jacket"/>
    <n v="11"/>
    <n v="47869"/>
    <n v="526559"/>
    <x v="0"/>
    <x v="0"/>
  </r>
  <r>
    <s v="INV-1586"/>
    <x v="0"/>
    <s v="Khan Store"/>
    <x v="2"/>
    <x v="1"/>
    <s v="Jacket"/>
    <n v="6"/>
    <n v="42472"/>
    <n v="254832"/>
    <x v="3"/>
    <x v="1"/>
  </r>
  <r>
    <s v="INV-1587"/>
    <x v="257"/>
    <s v="Ali Traders"/>
    <x v="1"/>
    <x v="2"/>
    <s v="Rice"/>
    <n v="15"/>
    <n v="39767"/>
    <n v="596505"/>
    <x v="3"/>
    <x v="0"/>
  </r>
  <r>
    <s v="INV-1588"/>
    <x v="186"/>
    <s v="Ali Traders"/>
    <x v="3"/>
    <x v="2"/>
    <s v="Sugar"/>
    <n v="12"/>
    <n v="40911"/>
    <n v="490932"/>
    <x v="0"/>
    <x v="1"/>
  </r>
  <r>
    <s v="INV-1589"/>
    <x v="167"/>
    <s v="Ali Traders"/>
    <x v="0"/>
    <x v="3"/>
    <s v="Marker"/>
    <n v="9"/>
    <n v="22932"/>
    <n v="206388"/>
    <x v="2"/>
    <x v="2"/>
  </r>
  <r>
    <s v="INV-1590"/>
    <x v="301"/>
    <s v="Zahid Electronics"/>
    <x v="0"/>
    <x v="2"/>
    <s v="Oil"/>
    <n v="18"/>
    <n v="4929"/>
    <n v="88722"/>
    <x v="0"/>
    <x v="2"/>
  </r>
  <r>
    <s v="INV-1591"/>
    <x v="302"/>
    <s v="Zahid Electronics"/>
    <x v="3"/>
    <x v="0"/>
    <s v="Mobile"/>
    <n v="7"/>
    <n v="49261"/>
    <n v="344827"/>
    <x v="2"/>
    <x v="1"/>
  </r>
  <r>
    <s v="INV-1592"/>
    <x v="61"/>
    <s v="Ahmed Mart"/>
    <x v="0"/>
    <x v="3"/>
    <s v="Notebook"/>
    <n v="5"/>
    <n v="29870"/>
    <n v="149350"/>
    <x v="3"/>
    <x v="0"/>
  </r>
  <r>
    <s v="INV-1593"/>
    <x v="23"/>
    <s v="Zahid Electronics"/>
    <x v="2"/>
    <x v="3"/>
    <s v="Notebook"/>
    <n v="1"/>
    <n v="24929"/>
    <n v="24929"/>
    <x v="2"/>
    <x v="0"/>
  </r>
  <r>
    <s v="INV-1594"/>
    <x v="268"/>
    <s v="Usman Enterprises"/>
    <x v="1"/>
    <x v="1"/>
    <s v="Shirt"/>
    <n v="19"/>
    <n v="19309"/>
    <n v="366871"/>
    <x v="0"/>
    <x v="2"/>
  </r>
  <r>
    <s v="INV-1595"/>
    <x v="303"/>
    <s v="Khan Store"/>
    <x v="2"/>
    <x v="0"/>
    <s v="Laptop"/>
    <n v="10"/>
    <n v="31321"/>
    <n v="313210"/>
    <x v="3"/>
    <x v="0"/>
  </r>
  <r>
    <s v="INV-1596"/>
    <x v="277"/>
    <s v="Ali Traders"/>
    <x v="0"/>
    <x v="3"/>
    <s v="Notebook"/>
    <n v="3"/>
    <n v="34466"/>
    <n v="103398"/>
    <x v="2"/>
    <x v="1"/>
  </r>
  <r>
    <s v="INV-1597"/>
    <x v="304"/>
    <s v="Ahmed Mart"/>
    <x v="1"/>
    <x v="2"/>
    <s v="Rice"/>
    <n v="3"/>
    <n v="44567"/>
    <n v="133701"/>
    <x v="2"/>
    <x v="1"/>
  </r>
  <r>
    <s v="INV-1598"/>
    <x v="192"/>
    <s v="Ali Traders"/>
    <x v="3"/>
    <x v="3"/>
    <s v="Notebook"/>
    <n v="17"/>
    <n v="43081"/>
    <n v="732377"/>
    <x v="0"/>
    <x v="0"/>
  </r>
  <r>
    <s v="INV-1599"/>
    <x v="189"/>
    <s v="Khan Store"/>
    <x v="3"/>
    <x v="3"/>
    <s v="Marker"/>
    <n v="13"/>
    <n v="43067"/>
    <n v="559871"/>
    <x v="2"/>
    <x v="0"/>
  </r>
  <r>
    <s v="INV-1600"/>
    <x v="157"/>
    <s v="Khan Store"/>
    <x v="0"/>
    <x v="0"/>
    <s v="Headphones"/>
    <n v="20"/>
    <n v="24015"/>
    <n v="480300"/>
    <x v="2"/>
    <x v="1"/>
  </r>
  <r>
    <s v="INV-1601"/>
    <x v="185"/>
    <s v="Usman Enterprises"/>
    <x v="2"/>
    <x v="3"/>
    <s v="Notebook"/>
    <n v="5"/>
    <n v="31076"/>
    <n v="155380"/>
    <x v="1"/>
    <x v="2"/>
  </r>
  <r>
    <s v="INV-1602"/>
    <x v="64"/>
    <s v="Ali Traders"/>
    <x v="1"/>
    <x v="3"/>
    <s v="Marker"/>
    <n v="10"/>
    <n v="39779"/>
    <n v="397790"/>
    <x v="1"/>
    <x v="0"/>
  </r>
  <r>
    <s v="INV-1603"/>
    <x v="102"/>
    <s v="Zahid Electronics"/>
    <x v="3"/>
    <x v="0"/>
    <s v="Laptop"/>
    <n v="20"/>
    <n v="15165"/>
    <n v="303300"/>
    <x v="2"/>
    <x v="2"/>
  </r>
  <r>
    <s v="INV-1604"/>
    <x v="305"/>
    <s v="Zahid Electronics"/>
    <x v="2"/>
    <x v="3"/>
    <s v="Notebook"/>
    <n v="20"/>
    <n v="9107"/>
    <n v="182140"/>
    <x v="2"/>
    <x v="0"/>
  </r>
  <r>
    <s v="INV-1605"/>
    <x v="116"/>
    <s v="Ahmed Mart"/>
    <x v="0"/>
    <x v="0"/>
    <s v="Laptop"/>
    <n v="3"/>
    <n v="19155"/>
    <n v="57465"/>
    <x v="1"/>
    <x v="2"/>
  </r>
  <r>
    <s v="INV-1606"/>
    <x v="306"/>
    <s v="Khan Store"/>
    <x v="0"/>
    <x v="0"/>
    <s v="Mobile"/>
    <n v="2"/>
    <n v="7741"/>
    <n v="15482"/>
    <x v="0"/>
    <x v="0"/>
  </r>
  <r>
    <s v="INV-1607"/>
    <x v="53"/>
    <s v="Khan Store"/>
    <x v="3"/>
    <x v="3"/>
    <s v="Pen"/>
    <n v="20"/>
    <n v="21053"/>
    <n v="421060"/>
    <x v="0"/>
    <x v="1"/>
  </r>
  <r>
    <s v="INV-1608"/>
    <x v="109"/>
    <s v="Usman Enterprises"/>
    <x v="2"/>
    <x v="3"/>
    <s v="Marker"/>
    <n v="9"/>
    <n v="16963"/>
    <n v="152667"/>
    <x v="3"/>
    <x v="0"/>
  </r>
  <r>
    <s v="INV-1609"/>
    <x v="78"/>
    <s v="Usman Enterprises"/>
    <x v="1"/>
    <x v="2"/>
    <s v="Sugar"/>
    <n v="6"/>
    <n v="36277"/>
    <n v="217662"/>
    <x v="1"/>
    <x v="0"/>
  </r>
  <r>
    <s v="INV-1610"/>
    <x v="165"/>
    <s v="Ali Traders"/>
    <x v="0"/>
    <x v="1"/>
    <s v="Shirt"/>
    <n v="11"/>
    <n v="31356"/>
    <n v="344916"/>
    <x v="2"/>
    <x v="1"/>
  </r>
  <r>
    <s v="INV-1611"/>
    <x v="118"/>
    <s v="Khan Store"/>
    <x v="1"/>
    <x v="3"/>
    <s v="Notebook"/>
    <n v="2"/>
    <n v="10625"/>
    <n v="21250"/>
    <x v="0"/>
    <x v="1"/>
  </r>
  <r>
    <s v="INV-1612"/>
    <x v="307"/>
    <s v="Zahid Electronics"/>
    <x v="0"/>
    <x v="3"/>
    <s v="Pen"/>
    <n v="9"/>
    <n v="33676"/>
    <n v="303084"/>
    <x v="1"/>
    <x v="0"/>
  </r>
  <r>
    <s v="INV-1613"/>
    <x v="283"/>
    <s v="Khan Store"/>
    <x v="0"/>
    <x v="1"/>
    <s v="Jeans"/>
    <n v="3"/>
    <n v="24291"/>
    <n v="72873"/>
    <x v="3"/>
    <x v="0"/>
  </r>
  <r>
    <s v="INV-1614"/>
    <x v="55"/>
    <s v="Khan Store"/>
    <x v="3"/>
    <x v="3"/>
    <s v="Marker"/>
    <n v="20"/>
    <n v="16951"/>
    <n v="339020"/>
    <x v="0"/>
    <x v="1"/>
  </r>
  <r>
    <s v="INV-1615"/>
    <x v="276"/>
    <s v="Ahmed Mart"/>
    <x v="2"/>
    <x v="2"/>
    <s v="Rice"/>
    <n v="6"/>
    <n v="17913"/>
    <n v="107478"/>
    <x v="3"/>
    <x v="2"/>
  </r>
  <r>
    <s v="INV-1616"/>
    <x v="97"/>
    <s v="Khan Store"/>
    <x v="0"/>
    <x v="0"/>
    <s v="Laptop"/>
    <n v="17"/>
    <n v="16264"/>
    <n v="276488"/>
    <x v="3"/>
    <x v="2"/>
  </r>
  <r>
    <s v="INV-1617"/>
    <x v="308"/>
    <s v="Ali Traders"/>
    <x v="2"/>
    <x v="3"/>
    <s v="Marker"/>
    <n v="4"/>
    <n v="3438"/>
    <n v="13752"/>
    <x v="2"/>
    <x v="2"/>
  </r>
  <r>
    <s v="INV-1618"/>
    <x v="292"/>
    <s v="Ahmed Mart"/>
    <x v="1"/>
    <x v="0"/>
    <s v="Headphones"/>
    <n v="10"/>
    <n v="25398"/>
    <n v="253980"/>
    <x v="1"/>
    <x v="1"/>
  </r>
  <r>
    <s v="INV-1619"/>
    <x v="280"/>
    <s v="Khan Store"/>
    <x v="3"/>
    <x v="1"/>
    <s v="Jacket"/>
    <n v="14"/>
    <n v="6732"/>
    <n v="94248"/>
    <x v="0"/>
    <x v="1"/>
  </r>
  <r>
    <s v="INV-1620"/>
    <x v="222"/>
    <s v="Khan Store"/>
    <x v="1"/>
    <x v="1"/>
    <s v="Jeans"/>
    <n v="11"/>
    <n v="10459"/>
    <n v="115049"/>
    <x v="3"/>
    <x v="0"/>
  </r>
  <r>
    <s v="INV-1621"/>
    <x v="75"/>
    <s v="Zahid Electronics"/>
    <x v="0"/>
    <x v="0"/>
    <s v="Headphones"/>
    <n v="19"/>
    <n v="3046"/>
    <n v="57874"/>
    <x v="1"/>
    <x v="0"/>
  </r>
  <r>
    <s v="INV-1622"/>
    <x v="309"/>
    <s v="Usman Enterprises"/>
    <x v="3"/>
    <x v="3"/>
    <s v="Pen"/>
    <n v="1"/>
    <n v="32625"/>
    <n v="32625"/>
    <x v="3"/>
    <x v="1"/>
  </r>
  <r>
    <s v="INV-1623"/>
    <x v="310"/>
    <s v="Ahmed Mart"/>
    <x v="2"/>
    <x v="3"/>
    <s v="Notebook"/>
    <n v="6"/>
    <n v="13654"/>
    <n v="81924"/>
    <x v="0"/>
    <x v="1"/>
  </r>
  <r>
    <s v="INV-1624"/>
    <x v="15"/>
    <s v="Ali Traders"/>
    <x v="0"/>
    <x v="0"/>
    <s v="Laptop"/>
    <n v="14"/>
    <n v="37061"/>
    <n v="518854"/>
    <x v="0"/>
    <x v="0"/>
  </r>
  <r>
    <s v="INV-1625"/>
    <x v="135"/>
    <s v="Zahid Electronics"/>
    <x v="3"/>
    <x v="0"/>
    <s v="Mobile"/>
    <n v="4"/>
    <n v="44005"/>
    <n v="176020"/>
    <x v="3"/>
    <x v="0"/>
  </r>
  <r>
    <s v="INV-1626"/>
    <x v="257"/>
    <s v="Ahmed Mart"/>
    <x v="3"/>
    <x v="1"/>
    <s v="Jacket"/>
    <n v="7"/>
    <n v="42151"/>
    <n v="295057"/>
    <x v="0"/>
    <x v="1"/>
  </r>
  <r>
    <s v="INV-1627"/>
    <x v="125"/>
    <s v="Usman Enterprises"/>
    <x v="1"/>
    <x v="2"/>
    <s v="Rice"/>
    <n v="7"/>
    <n v="14548"/>
    <n v="101836"/>
    <x v="2"/>
    <x v="1"/>
  </r>
  <r>
    <s v="INV-1628"/>
    <x v="311"/>
    <s v="Zahid Electronics"/>
    <x v="0"/>
    <x v="3"/>
    <s v="Notebook"/>
    <n v="14"/>
    <n v="31636"/>
    <n v="442904"/>
    <x v="1"/>
    <x v="1"/>
  </r>
  <r>
    <s v="INV-1629"/>
    <x v="40"/>
    <s v="Ali Traders"/>
    <x v="2"/>
    <x v="0"/>
    <s v="Mobile"/>
    <n v="8"/>
    <n v="37257"/>
    <n v="298056"/>
    <x v="0"/>
    <x v="1"/>
  </r>
  <r>
    <s v="INV-1630"/>
    <x v="74"/>
    <s v="Ahmed Mart"/>
    <x v="0"/>
    <x v="3"/>
    <s v="Notebook"/>
    <n v="13"/>
    <n v="5185"/>
    <n v="67405"/>
    <x v="1"/>
    <x v="2"/>
  </r>
  <r>
    <s v="INV-1631"/>
    <x v="68"/>
    <s v="Ahmed Mart"/>
    <x v="1"/>
    <x v="0"/>
    <s v="Laptop"/>
    <n v="2"/>
    <n v="16301"/>
    <n v="32602"/>
    <x v="0"/>
    <x v="2"/>
  </r>
  <r>
    <s v="INV-1632"/>
    <x v="28"/>
    <s v="Zahid Electronics"/>
    <x v="3"/>
    <x v="2"/>
    <s v="Oil"/>
    <n v="10"/>
    <n v="7145"/>
    <n v="71450"/>
    <x v="0"/>
    <x v="2"/>
  </r>
  <r>
    <s v="INV-1633"/>
    <x v="269"/>
    <s v="Usman Enterprises"/>
    <x v="2"/>
    <x v="1"/>
    <s v="Jeans"/>
    <n v="13"/>
    <n v="16496"/>
    <n v="214448"/>
    <x v="0"/>
    <x v="0"/>
  </r>
  <r>
    <s v="INV-1634"/>
    <x v="164"/>
    <s v="Khan Store"/>
    <x v="3"/>
    <x v="0"/>
    <s v="Headphones"/>
    <n v="16"/>
    <n v="31696"/>
    <n v="507136"/>
    <x v="1"/>
    <x v="0"/>
  </r>
  <r>
    <s v="INV-1635"/>
    <x v="51"/>
    <s v="Usman Enterprises"/>
    <x v="3"/>
    <x v="2"/>
    <s v="Rice"/>
    <n v="19"/>
    <n v="46645"/>
    <n v="886255"/>
    <x v="3"/>
    <x v="1"/>
  </r>
  <r>
    <s v="INV-1636"/>
    <x v="60"/>
    <s v="Ahmed Mart"/>
    <x v="3"/>
    <x v="3"/>
    <s v="Notebook"/>
    <n v="3"/>
    <n v="38565"/>
    <n v="115695"/>
    <x v="1"/>
    <x v="0"/>
  </r>
  <r>
    <s v="INV-1637"/>
    <x v="56"/>
    <s v="Khan Store"/>
    <x v="3"/>
    <x v="0"/>
    <s v="Mobile"/>
    <n v="17"/>
    <n v="8317"/>
    <n v="141389"/>
    <x v="3"/>
    <x v="1"/>
  </r>
  <r>
    <s v="INV-1638"/>
    <x v="65"/>
    <s v="Zahid Electronics"/>
    <x v="3"/>
    <x v="2"/>
    <s v="Rice"/>
    <n v="2"/>
    <n v="3850"/>
    <n v="7700"/>
    <x v="0"/>
    <x v="0"/>
  </r>
  <r>
    <s v="INV-1639"/>
    <x v="230"/>
    <s v="Khan Store"/>
    <x v="0"/>
    <x v="3"/>
    <s v="Marker"/>
    <n v="6"/>
    <n v="7726"/>
    <n v="46356"/>
    <x v="3"/>
    <x v="1"/>
  </r>
  <r>
    <s v="INV-1640"/>
    <x v="52"/>
    <s v="Usman Enterprises"/>
    <x v="0"/>
    <x v="0"/>
    <s v="Laptop"/>
    <n v="2"/>
    <n v="25426"/>
    <n v="50852"/>
    <x v="2"/>
    <x v="1"/>
  </r>
  <r>
    <s v="INV-1641"/>
    <x v="2"/>
    <s v="Ahmed Mart"/>
    <x v="2"/>
    <x v="2"/>
    <s v="Oil"/>
    <n v="3"/>
    <n v="25237"/>
    <n v="75711"/>
    <x v="0"/>
    <x v="1"/>
  </r>
  <r>
    <s v="INV-1642"/>
    <x v="312"/>
    <s v="Ahmed Mart"/>
    <x v="1"/>
    <x v="1"/>
    <s v="Jeans"/>
    <n v="2"/>
    <n v="36651"/>
    <n v="73302"/>
    <x v="0"/>
    <x v="0"/>
  </r>
  <r>
    <s v="INV-1643"/>
    <x v="228"/>
    <s v="Khan Store"/>
    <x v="3"/>
    <x v="1"/>
    <s v="Jeans"/>
    <n v="4"/>
    <n v="6158"/>
    <n v="24632"/>
    <x v="2"/>
    <x v="1"/>
  </r>
  <r>
    <s v="INV-1644"/>
    <x v="313"/>
    <s v="Ali Traders"/>
    <x v="0"/>
    <x v="1"/>
    <s v="Jeans"/>
    <n v="3"/>
    <n v="22898"/>
    <n v="68694"/>
    <x v="3"/>
    <x v="1"/>
  </r>
  <r>
    <s v="INV-1645"/>
    <x v="314"/>
    <s v="Usman Enterprises"/>
    <x v="0"/>
    <x v="2"/>
    <s v="Rice"/>
    <n v="16"/>
    <n v="19162"/>
    <n v="306592"/>
    <x v="2"/>
    <x v="0"/>
  </r>
  <r>
    <s v="INV-1646"/>
    <x v="229"/>
    <s v="Zahid Electronics"/>
    <x v="2"/>
    <x v="1"/>
    <s v="Shirt"/>
    <n v="17"/>
    <n v="42597"/>
    <n v="724149"/>
    <x v="2"/>
    <x v="1"/>
  </r>
  <r>
    <s v="INV-1647"/>
    <x v="54"/>
    <s v="Zahid Electronics"/>
    <x v="2"/>
    <x v="1"/>
    <s v="Jacket"/>
    <n v="2"/>
    <n v="23944"/>
    <n v="47888"/>
    <x v="0"/>
    <x v="0"/>
  </r>
  <r>
    <s v="INV-1648"/>
    <x v="104"/>
    <s v="Ahmed Mart"/>
    <x v="3"/>
    <x v="2"/>
    <s v="Oil"/>
    <n v="15"/>
    <n v="15211"/>
    <n v="228165"/>
    <x v="0"/>
    <x v="1"/>
  </r>
  <r>
    <s v="INV-1649"/>
    <x v="205"/>
    <s v="Ahmed Mart"/>
    <x v="1"/>
    <x v="0"/>
    <s v="Mobile"/>
    <n v="4"/>
    <n v="2045"/>
    <n v="8180"/>
    <x v="3"/>
    <x v="2"/>
  </r>
  <r>
    <s v="INV-1650"/>
    <x v="256"/>
    <s v="Khan Store"/>
    <x v="3"/>
    <x v="2"/>
    <s v="Rice"/>
    <n v="13"/>
    <n v="7113"/>
    <n v="92469"/>
    <x v="1"/>
    <x v="2"/>
  </r>
  <r>
    <s v="INV-1651"/>
    <x v="264"/>
    <s v="Zahid Electronics"/>
    <x v="1"/>
    <x v="3"/>
    <s v="Pen"/>
    <n v="15"/>
    <n v="46254"/>
    <n v="693810"/>
    <x v="1"/>
    <x v="0"/>
  </r>
  <r>
    <s v="INV-1652"/>
    <x v="221"/>
    <s v="Usman Enterprises"/>
    <x v="1"/>
    <x v="2"/>
    <s v="Oil"/>
    <n v="20"/>
    <n v="38458"/>
    <n v="769160"/>
    <x v="1"/>
    <x v="2"/>
  </r>
  <r>
    <s v="INV-1653"/>
    <x v="206"/>
    <s v="Ali Traders"/>
    <x v="0"/>
    <x v="1"/>
    <s v="Jeans"/>
    <n v="7"/>
    <n v="35732"/>
    <n v="250124"/>
    <x v="2"/>
    <x v="0"/>
  </r>
  <r>
    <s v="INV-1654"/>
    <x v="231"/>
    <s v="Ahmed Mart"/>
    <x v="1"/>
    <x v="1"/>
    <s v="Jeans"/>
    <n v="3"/>
    <n v="7480"/>
    <n v="22440"/>
    <x v="2"/>
    <x v="1"/>
  </r>
  <r>
    <s v="INV-1655"/>
    <x v="187"/>
    <s v="Zahid Electronics"/>
    <x v="3"/>
    <x v="1"/>
    <s v="Jacket"/>
    <n v="4"/>
    <n v="19928"/>
    <n v="79712"/>
    <x v="0"/>
    <x v="2"/>
  </r>
  <r>
    <s v="INV-1656"/>
    <x v="69"/>
    <s v="Khan Store"/>
    <x v="2"/>
    <x v="1"/>
    <s v="Shirt"/>
    <n v="3"/>
    <n v="37425"/>
    <n v="112275"/>
    <x v="1"/>
    <x v="0"/>
  </r>
  <r>
    <s v="INV-1657"/>
    <x v="280"/>
    <s v="Usman Enterprises"/>
    <x v="2"/>
    <x v="3"/>
    <s v="Pen"/>
    <n v="3"/>
    <n v="38874"/>
    <n v="116622"/>
    <x v="0"/>
    <x v="0"/>
  </r>
  <r>
    <s v="INV-1658"/>
    <x v="315"/>
    <s v="Zahid Electronics"/>
    <x v="2"/>
    <x v="1"/>
    <s v="Jacket"/>
    <n v="3"/>
    <n v="4793"/>
    <n v="14379"/>
    <x v="1"/>
    <x v="2"/>
  </r>
  <r>
    <s v="INV-1659"/>
    <x v="316"/>
    <s v="Ali Traders"/>
    <x v="1"/>
    <x v="1"/>
    <s v="Jacket"/>
    <n v="4"/>
    <n v="6515"/>
    <n v="26060"/>
    <x v="0"/>
    <x v="2"/>
  </r>
  <r>
    <s v="INV-1660"/>
    <x v="311"/>
    <s v="Ali Traders"/>
    <x v="0"/>
    <x v="1"/>
    <s v="Shirt"/>
    <n v="19"/>
    <n v="34978"/>
    <n v="664582"/>
    <x v="3"/>
    <x v="1"/>
  </r>
  <r>
    <s v="INV-1661"/>
    <x v="292"/>
    <s v="Ali Traders"/>
    <x v="2"/>
    <x v="2"/>
    <s v="Oil"/>
    <n v="9"/>
    <n v="27377"/>
    <n v="246393"/>
    <x v="3"/>
    <x v="0"/>
  </r>
  <r>
    <s v="INV-1662"/>
    <x v="28"/>
    <s v="Ahmed Mart"/>
    <x v="2"/>
    <x v="3"/>
    <s v="Marker"/>
    <n v="17"/>
    <n v="46066"/>
    <n v="783122"/>
    <x v="1"/>
    <x v="0"/>
  </r>
  <r>
    <s v="INV-1663"/>
    <x v="275"/>
    <s v="Ali Traders"/>
    <x v="1"/>
    <x v="2"/>
    <s v="Oil"/>
    <n v="19"/>
    <n v="34439"/>
    <n v="654341"/>
    <x v="1"/>
    <x v="2"/>
  </r>
  <r>
    <s v="INV-1664"/>
    <x v="114"/>
    <s v="Ali Traders"/>
    <x v="1"/>
    <x v="1"/>
    <s v="Jeans"/>
    <n v="12"/>
    <n v="5589"/>
    <n v="67068"/>
    <x v="3"/>
    <x v="2"/>
  </r>
  <r>
    <s v="INV-1665"/>
    <x v="39"/>
    <s v="Ahmed Mart"/>
    <x v="0"/>
    <x v="0"/>
    <s v="Laptop"/>
    <n v="18"/>
    <n v="44080"/>
    <n v="793440"/>
    <x v="2"/>
    <x v="1"/>
  </r>
  <r>
    <s v="INV-1666"/>
    <x v="35"/>
    <s v="Ali Traders"/>
    <x v="1"/>
    <x v="0"/>
    <s v="Mobile"/>
    <n v="20"/>
    <n v="5196"/>
    <n v="103920"/>
    <x v="1"/>
    <x v="1"/>
  </r>
  <r>
    <s v="INV-1667"/>
    <x v="46"/>
    <s v="Khan Store"/>
    <x v="1"/>
    <x v="0"/>
    <s v="Laptop"/>
    <n v="13"/>
    <n v="48690"/>
    <n v="632970"/>
    <x v="0"/>
    <x v="2"/>
  </r>
  <r>
    <s v="INV-1668"/>
    <x v="120"/>
    <s v="Khan Store"/>
    <x v="1"/>
    <x v="3"/>
    <s v="Pen"/>
    <n v="16"/>
    <n v="17554"/>
    <n v="280864"/>
    <x v="3"/>
    <x v="2"/>
  </r>
  <r>
    <s v="INV-1669"/>
    <x v="179"/>
    <s v="Usman Enterprises"/>
    <x v="3"/>
    <x v="1"/>
    <s v="Jacket"/>
    <n v="13"/>
    <n v="4365"/>
    <n v="56745"/>
    <x v="1"/>
    <x v="2"/>
  </r>
  <r>
    <s v="INV-1670"/>
    <x v="119"/>
    <s v="Usman Enterprises"/>
    <x v="2"/>
    <x v="2"/>
    <s v="Oil"/>
    <n v="2"/>
    <n v="30790"/>
    <n v="61580"/>
    <x v="1"/>
    <x v="1"/>
  </r>
  <r>
    <s v="INV-1671"/>
    <x v="9"/>
    <s v="Khan Store"/>
    <x v="2"/>
    <x v="0"/>
    <s v="Laptop"/>
    <n v="15"/>
    <n v="19224"/>
    <n v="288360"/>
    <x v="2"/>
    <x v="0"/>
  </r>
  <r>
    <s v="INV-1672"/>
    <x v="255"/>
    <s v="Khan Store"/>
    <x v="1"/>
    <x v="0"/>
    <s v="Laptop"/>
    <n v="7"/>
    <n v="18530"/>
    <n v="129710"/>
    <x v="1"/>
    <x v="1"/>
  </r>
  <r>
    <s v="INV-1673"/>
    <x v="138"/>
    <s v="Usman Enterprises"/>
    <x v="0"/>
    <x v="3"/>
    <s v="Marker"/>
    <n v="12"/>
    <n v="1294"/>
    <n v="15528"/>
    <x v="0"/>
    <x v="1"/>
  </r>
  <r>
    <s v="INV-1674"/>
    <x v="215"/>
    <s v="Zahid Electronics"/>
    <x v="2"/>
    <x v="0"/>
    <s v="Headphones"/>
    <n v="9"/>
    <n v="12801"/>
    <n v="115209"/>
    <x v="2"/>
    <x v="1"/>
  </r>
  <r>
    <s v="INV-1675"/>
    <x v="190"/>
    <s v="Khan Store"/>
    <x v="3"/>
    <x v="1"/>
    <s v="Jacket"/>
    <n v="3"/>
    <n v="15347"/>
    <n v="46041"/>
    <x v="2"/>
    <x v="0"/>
  </r>
  <r>
    <s v="INV-1676"/>
    <x v="92"/>
    <s v="Ahmed Mart"/>
    <x v="3"/>
    <x v="3"/>
    <s v="Marker"/>
    <n v="2"/>
    <n v="5200"/>
    <n v="10400"/>
    <x v="1"/>
    <x v="1"/>
  </r>
  <r>
    <s v="INV-1677"/>
    <x v="108"/>
    <s v="Ahmed Mart"/>
    <x v="1"/>
    <x v="2"/>
    <s v="Sugar"/>
    <n v="6"/>
    <n v="42626"/>
    <n v="255756"/>
    <x v="2"/>
    <x v="2"/>
  </r>
  <r>
    <s v="INV-1678"/>
    <x v="112"/>
    <s v="Ahmed Mart"/>
    <x v="3"/>
    <x v="2"/>
    <s v="Rice"/>
    <n v="19"/>
    <n v="24133"/>
    <n v="458527"/>
    <x v="2"/>
    <x v="1"/>
  </r>
  <r>
    <s v="INV-1679"/>
    <x v="317"/>
    <s v="Usman Enterprises"/>
    <x v="1"/>
    <x v="2"/>
    <s v="Oil"/>
    <n v="12"/>
    <n v="18689"/>
    <n v="224268"/>
    <x v="0"/>
    <x v="2"/>
  </r>
  <r>
    <s v="INV-1680"/>
    <x v="129"/>
    <s v="Usman Enterprises"/>
    <x v="3"/>
    <x v="3"/>
    <s v="Notebook"/>
    <n v="13"/>
    <n v="32727"/>
    <n v="425451"/>
    <x v="3"/>
    <x v="1"/>
  </r>
  <r>
    <s v="INV-1681"/>
    <x v="97"/>
    <s v="Zahid Electronics"/>
    <x v="1"/>
    <x v="0"/>
    <s v="Mobile"/>
    <n v="11"/>
    <n v="6305"/>
    <n v="69355"/>
    <x v="2"/>
    <x v="0"/>
  </r>
  <r>
    <s v="INV-1682"/>
    <x v="318"/>
    <s v="Zahid Electronics"/>
    <x v="3"/>
    <x v="1"/>
    <s v="Jeans"/>
    <n v="8"/>
    <n v="1983"/>
    <n v="15864"/>
    <x v="2"/>
    <x v="1"/>
  </r>
  <r>
    <s v="INV-1683"/>
    <x v="65"/>
    <s v="Usman Enterprises"/>
    <x v="0"/>
    <x v="1"/>
    <s v="Jeans"/>
    <n v="15"/>
    <n v="23540"/>
    <n v="353100"/>
    <x v="2"/>
    <x v="1"/>
  </r>
  <r>
    <s v="INV-1684"/>
    <x v="102"/>
    <s v="Ali Traders"/>
    <x v="1"/>
    <x v="1"/>
    <s v="Shirt"/>
    <n v="17"/>
    <n v="41001"/>
    <n v="697017"/>
    <x v="0"/>
    <x v="0"/>
  </r>
  <r>
    <s v="INV-1685"/>
    <x v="255"/>
    <s v="Zahid Electronics"/>
    <x v="1"/>
    <x v="3"/>
    <s v="Marker"/>
    <n v="12"/>
    <n v="4507"/>
    <n v="54084"/>
    <x v="0"/>
    <x v="2"/>
  </r>
  <r>
    <s v="INV-1686"/>
    <x v="106"/>
    <s v="Ahmed Mart"/>
    <x v="3"/>
    <x v="2"/>
    <s v="Oil"/>
    <n v="12"/>
    <n v="24422"/>
    <n v="293064"/>
    <x v="0"/>
    <x v="0"/>
  </r>
  <r>
    <s v="INV-1687"/>
    <x v="273"/>
    <s v="Ali Traders"/>
    <x v="2"/>
    <x v="1"/>
    <s v="Jacket"/>
    <n v="3"/>
    <n v="42294"/>
    <n v="126882"/>
    <x v="0"/>
    <x v="1"/>
  </r>
  <r>
    <s v="INV-1688"/>
    <x v="14"/>
    <s v="Khan Store"/>
    <x v="1"/>
    <x v="0"/>
    <s v="Headphones"/>
    <n v="1"/>
    <n v="16653"/>
    <n v="16653"/>
    <x v="1"/>
    <x v="0"/>
  </r>
  <r>
    <s v="INV-1689"/>
    <x v="231"/>
    <s v="Ahmed Mart"/>
    <x v="3"/>
    <x v="2"/>
    <s v="Oil"/>
    <n v="1"/>
    <n v="35397"/>
    <n v="35397"/>
    <x v="2"/>
    <x v="2"/>
  </r>
  <r>
    <s v="INV-1690"/>
    <x v="236"/>
    <s v="Usman Enterprises"/>
    <x v="0"/>
    <x v="2"/>
    <s v="Oil"/>
    <n v="1"/>
    <n v="5823"/>
    <n v="5823"/>
    <x v="0"/>
    <x v="1"/>
  </r>
  <r>
    <s v="INV-1691"/>
    <x v="267"/>
    <s v="Ahmed Mart"/>
    <x v="3"/>
    <x v="1"/>
    <s v="Shirt"/>
    <n v="8"/>
    <n v="8479"/>
    <n v="67832"/>
    <x v="1"/>
    <x v="2"/>
  </r>
  <r>
    <s v="INV-1692"/>
    <x v="286"/>
    <s v="Usman Enterprises"/>
    <x v="2"/>
    <x v="1"/>
    <s v="Shirt"/>
    <n v="17"/>
    <n v="46075"/>
    <n v="783275"/>
    <x v="3"/>
    <x v="0"/>
  </r>
  <r>
    <s v="INV-1693"/>
    <x v="9"/>
    <s v="Usman Enterprises"/>
    <x v="1"/>
    <x v="0"/>
    <s v="Mobile"/>
    <n v="10"/>
    <n v="40970"/>
    <n v="409700"/>
    <x v="3"/>
    <x v="1"/>
  </r>
  <r>
    <s v="INV-1694"/>
    <x v="21"/>
    <s v="Khan Store"/>
    <x v="0"/>
    <x v="1"/>
    <s v="Jeans"/>
    <n v="10"/>
    <n v="26709"/>
    <n v="267090"/>
    <x v="1"/>
    <x v="2"/>
  </r>
  <r>
    <s v="INV-1695"/>
    <x v="288"/>
    <s v="Khan Store"/>
    <x v="1"/>
    <x v="3"/>
    <s v="Marker"/>
    <n v="6"/>
    <n v="17581"/>
    <n v="105486"/>
    <x v="3"/>
    <x v="0"/>
  </r>
  <r>
    <s v="INV-1696"/>
    <x v="8"/>
    <s v="Khan Store"/>
    <x v="0"/>
    <x v="0"/>
    <s v="Headphones"/>
    <n v="5"/>
    <n v="31570"/>
    <n v="157850"/>
    <x v="0"/>
    <x v="1"/>
  </r>
  <r>
    <s v="INV-1697"/>
    <x v="38"/>
    <s v="Zahid Electronics"/>
    <x v="0"/>
    <x v="1"/>
    <s v="Jeans"/>
    <n v="19"/>
    <n v="19914"/>
    <n v="378366"/>
    <x v="3"/>
    <x v="0"/>
  </r>
  <r>
    <s v="INV-1698"/>
    <x v="259"/>
    <s v="Khan Store"/>
    <x v="2"/>
    <x v="0"/>
    <s v="Laptop"/>
    <n v="16"/>
    <n v="25039"/>
    <n v="400624"/>
    <x v="2"/>
    <x v="1"/>
  </r>
  <r>
    <s v="INV-1699"/>
    <x v="319"/>
    <s v="Zahid Electronics"/>
    <x v="3"/>
    <x v="1"/>
    <s v="Jeans"/>
    <n v="3"/>
    <n v="14803"/>
    <n v="44409"/>
    <x v="2"/>
    <x v="0"/>
  </r>
  <r>
    <s v="INV-1700"/>
    <x v="256"/>
    <s v="Ali Traders"/>
    <x v="1"/>
    <x v="1"/>
    <s v="Jeans"/>
    <n v="12"/>
    <n v="10051"/>
    <n v="120612"/>
    <x v="3"/>
    <x v="0"/>
  </r>
  <r>
    <s v="INV-1701"/>
    <x v="292"/>
    <s v="Usman Enterprises"/>
    <x v="1"/>
    <x v="2"/>
    <s v="Oil"/>
    <n v="4"/>
    <n v="45057"/>
    <n v="180228"/>
    <x v="3"/>
    <x v="0"/>
  </r>
  <r>
    <s v="INV-1702"/>
    <x v="320"/>
    <s v="Zahid Electronics"/>
    <x v="2"/>
    <x v="3"/>
    <s v="Marker"/>
    <n v="11"/>
    <n v="7572"/>
    <n v="83292"/>
    <x v="0"/>
    <x v="0"/>
  </r>
  <r>
    <s v="INV-1703"/>
    <x v="115"/>
    <s v="Khan Store"/>
    <x v="2"/>
    <x v="1"/>
    <s v="Jeans"/>
    <n v="19"/>
    <n v="34151"/>
    <n v="648869"/>
    <x v="2"/>
    <x v="2"/>
  </r>
  <r>
    <s v="INV-1704"/>
    <x v="157"/>
    <s v="Zahid Electronics"/>
    <x v="1"/>
    <x v="2"/>
    <s v="Rice"/>
    <n v="16"/>
    <n v="24666"/>
    <n v="394656"/>
    <x v="0"/>
    <x v="0"/>
  </r>
  <r>
    <s v="INV-1705"/>
    <x v="40"/>
    <s v="Ahmed Mart"/>
    <x v="1"/>
    <x v="0"/>
    <s v="Mobile"/>
    <n v="19"/>
    <n v="30337"/>
    <n v="576403"/>
    <x v="1"/>
    <x v="0"/>
  </r>
  <r>
    <s v="INV-1706"/>
    <x v="244"/>
    <s v="Zahid Electronics"/>
    <x v="2"/>
    <x v="3"/>
    <s v="Pen"/>
    <n v="14"/>
    <n v="18157"/>
    <n v="254198"/>
    <x v="2"/>
    <x v="1"/>
  </r>
  <r>
    <s v="INV-1707"/>
    <x v="25"/>
    <s v="Zahid Electronics"/>
    <x v="3"/>
    <x v="2"/>
    <s v="Oil"/>
    <n v="16"/>
    <n v="20721"/>
    <n v="331536"/>
    <x v="0"/>
    <x v="1"/>
  </r>
  <r>
    <s v="INV-1708"/>
    <x v="306"/>
    <s v="Ali Traders"/>
    <x v="3"/>
    <x v="0"/>
    <s v="Headphones"/>
    <n v="2"/>
    <n v="43241"/>
    <n v="86482"/>
    <x v="2"/>
    <x v="0"/>
  </r>
  <r>
    <s v="INV-1709"/>
    <x v="187"/>
    <s v="Usman Enterprises"/>
    <x v="3"/>
    <x v="1"/>
    <s v="Jacket"/>
    <n v="4"/>
    <n v="18869"/>
    <n v="75476"/>
    <x v="2"/>
    <x v="0"/>
  </r>
  <r>
    <s v="INV-1710"/>
    <x v="321"/>
    <s v="Ali Traders"/>
    <x v="0"/>
    <x v="1"/>
    <s v="Jacket"/>
    <n v="16"/>
    <n v="23474"/>
    <n v="375584"/>
    <x v="2"/>
    <x v="0"/>
  </r>
  <r>
    <s v="INV-1711"/>
    <x v="0"/>
    <s v="Zahid Electronics"/>
    <x v="2"/>
    <x v="2"/>
    <s v="Rice"/>
    <n v="16"/>
    <n v="40121"/>
    <n v="641936"/>
    <x v="3"/>
    <x v="1"/>
  </r>
  <r>
    <s v="INV-1712"/>
    <x v="305"/>
    <s v="Ahmed Mart"/>
    <x v="2"/>
    <x v="2"/>
    <s v="Oil"/>
    <n v="20"/>
    <n v="22494"/>
    <n v="449880"/>
    <x v="1"/>
    <x v="1"/>
  </r>
  <r>
    <s v="INV-1713"/>
    <x v="288"/>
    <s v="Usman Enterprises"/>
    <x v="0"/>
    <x v="0"/>
    <s v="Laptop"/>
    <n v="7"/>
    <n v="46568"/>
    <n v="325976"/>
    <x v="3"/>
    <x v="2"/>
  </r>
  <r>
    <s v="INV-1714"/>
    <x v="322"/>
    <s v="Usman Enterprises"/>
    <x v="3"/>
    <x v="3"/>
    <s v="Notebook"/>
    <n v="9"/>
    <n v="15449"/>
    <n v="139041"/>
    <x v="0"/>
    <x v="0"/>
  </r>
  <r>
    <s v="INV-1715"/>
    <x v="112"/>
    <s v="Ahmed Mart"/>
    <x v="0"/>
    <x v="1"/>
    <s v="Shirt"/>
    <n v="20"/>
    <n v="37800"/>
    <n v="756000"/>
    <x v="2"/>
    <x v="1"/>
  </r>
  <r>
    <s v="INV-1716"/>
    <x v="224"/>
    <s v="Zahid Electronics"/>
    <x v="0"/>
    <x v="1"/>
    <s v="Jacket"/>
    <n v="10"/>
    <n v="11660"/>
    <n v="116600"/>
    <x v="1"/>
    <x v="1"/>
  </r>
  <r>
    <s v="INV-1717"/>
    <x v="94"/>
    <s v="Khan Store"/>
    <x v="3"/>
    <x v="1"/>
    <s v="Shirt"/>
    <n v="4"/>
    <n v="37458"/>
    <n v="149832"/>
    <x v="2"/>
    <x v="0"/>
  </r>
  <r>
    <s v="INV-1718"/>
    <x v="272"/>
    <s v="Ahmed Mart"/>
    <x v="1"/>
    <x v="1"/>
    <s v="Jacket"/>
    <n v="8"/>
    <n v="23627"/>
    <n v="189016"/>
    <x v="1"/>
    <x v="1"/>
  </r>
  <r>
    <s v="INV-1719"/>
    <x v="164"/>
    <s v="Ali Traders"/>
    <x v="1"/>
    <x v="2"/>
    <s v="Oil"/>
    <n v="15"/>
    <n v="9366"/>
    <n v="140490"/>
    <x v="2"/>
    <x v="2"/>
  </r>
  <r>
    <s v="INV-1720"/>
    <x v="13"/>
    <s v="Khan Store"/>
    <x v="0"/>
    <x v="2"/>
    <s v="Oil"/>
    <n v="6"/>
    <n v="16895"/>
    <n v="101370"/>
    <x v="3"/>
    <x v="0"/>
  </r>
  <r>
    <s v="INV-1721"/>
    <x v="142"/>
    <s v="Ali Traders"/>
    <x v="3"/>
    <x v="3"/>
    <s v="Notebook"/>
    <n v="4"/>
    <n v="21657"/>
    <n v="86628"/>
    <x v="2"/>
    <x v="2"/>
  </r>
  <r>
    <s v="INV-1722"/>
    <x v="266"/>
    <s v="Usman Enterprises"/>
    <x v="1"/>
    <x v="1"/>
    <s v="Jeans"/>
    <n v="2"/>
    <n v="32907"/>
    <n v="65814"/>
    <x v="0"/>
    <x v="1"/>
  </r>
  <r>
    <s v="INV-1723"/>
    <x v="48"/>
    <s v="Usman Enterprises"/>
    <x v="3"/>
    <x v="2"/>
    <s v="Rice"/>
    <n v="19"/>
    <n v="31641"/>
    <n v="601179"/>
    <x v="0"/>
    <x v="0"/>
  </r>
  <r>
    <s v="INV-1724"/>
    <x v="265"/>
    <s v="Ali Traders"/>
    <x v="3"/>
    <x v="0"/>
    <s v="Laptop"/>
    <n v="3"/>
    <n v="26235"/>
    <n v="78705"/>
    <x v="2"/>
    <x v="1"/>
  </r>
  <r>
    <s v="INV-1725"/>
    <x v="108"/>
    <s v="Zahid Electronics"/>
    <x v="2"/>
    <x v="3"/>
    <s v="Marker"/>
    <n v="19"/>
    <n v="25051"/>
    <n v="475969"/>
    <x v="0"/>
    <x v="0"/>
  </r>
  <r>
    <s v="INV-1726"/>
    <x v="120"/>
    <s v="Zahid Electronics"/>
    <x v="1"/>
    <x v="1"/>
    <s v="Jacket"/>
    <n v="15"/>
    <n v="26033"/>
    <n v="390495"/>
    <x v="2"/>
    <x v="0"/>
  </r>
  <r>
    <s v="INV-1727"/>
    <x v="323"/>
    <s v="Ali Traders"/>
    <x v="0"/>
    <x v="0"/>
    <s v="Headphones"/>
    <n v="4"/>
    <n v="19579"/>
    <n v="78316"/>
    <x v="2"/>
    <x v="2"/>
  </r>
  <r>
    <s v="INV-1728"/>
    <x v="324"/>
    <s v="Zahid Electronics"/>
    <x v="1"/>
    <x v="3"/>
    <s v="Notebook"/>
    <n v="10"/>
    <n v="31601"/>
    <n v="316010"/>
    <x v="2"/>
    <x v="1"/>
  </r>
  <r>
    <s v="INV-1729"/>
    <x v="266"/>
    <s v="Khan Store"/>
    <x v="1"/>
    <x v="1"/>
    <s v="Jeans"/>
    <n v="9"/>
    <n v="42264"/>
    <n v="380376"/>
    <x v="3"/>
    <x v="1"/>
  </r>
  <r>
    <s v="INV-1730"/>
    <x v="4"/>
    <s v="Khan Store"/>
    <x v="0"/>
    <x v="1"/>
    <s v="Shirt"/>
    <n v="16"/>
    <n v="4982"/>
    <n v="79712"/>
    <x v="3"/>
    <x v="0"/>
  </r>
  <r>
    <s v="INV-1731"/>
    <x v="20"/>
    <s v="Usman Enterprises"/>
    <x v="3"/>
    <x v="1"/>
    <s v="Jeans"/>
    <n v="7"/>
    <n v="43250"/>
    <n v="302750"/>
    <x v="1"/>
    <x v="1"/>
  </r>
  <r>
    <s v="INV-1732"/>
    <x v="325"/>
    <s v="Usman Enterprises"/>
    <x v="3"/>
    <x v="0"/>
    <s v="Laptop"/>
    <n v="16"/>
    <n v="35759"/>
    <n v="572144"/>
    <x v="2"/>
    <x v="2"/>
  </r>
  <r>
    <s v="INV-1733"/>
    <x v="130"/>
    <s v="Zahid Electronics"/>
    <x v="2"/>
    <x v="0"/>
    <s v="Mobile"/>
    <n v="7"/>
    <n v="23855"/>
    <n v="166985"/>
    <x v="1"/>
    <x v="0"/>
  </r>
  <r>
    <s v="INV-1734"/>
    <x v="29"/>
    <s v="Zahid Electronics"/>
    <x v="0"/>
    <x v="0"/>
    <s v="Headphones"/>
    <n v="3"/>
    <n v="22002"/>
    <n v="66006"/>
    <x v="2"/>
    <x v="2"/>
  </r>
  <r>
    <s v="INV-1735"/>
    <x v="155"/>
    <s v="Zahid Electronics"/>
    <x v="1"/>
    <x v="1"/>
    <s v="Shirt"/>
    <n v="1"/>
    <n v="29786"/>
    <n v="29786"/>
    <x v="2"/>
    <x v="2"/>
  </r>
  <r>
    <s v="INV-1736"/>
    <x v="201"/>
    <s v="Zahid Electronics"/>
    <x v="1"/>
    <x v="0"/>
    <s v="Headphones"/>
    <n v="9"/>
    <n v="31156"/>
    <n v="280404"/>
    <x v="3"/>
    <x v="1"/>
  </r>
  <r>
    <s v="INV-1737"/>
    <x v="74"/>
    <s v="Zahid Electronics"/>
    <x v="1"/>
    <x v="2"/>
    <s v="Sugar"/>
    <n v="5"/>
    <n v="37941"/>
    <n v="189705"/>
    <x v="2"/>
    <x v="2"/>
  </r>
  <r>
    <s v="INV-1738"/>
    <x v="158"/>
    <s v="Zahid Electronics"/>
    <x v="0"/>
    <x v="3"/>
    <s v="Marker"/>
    <n v="7"/>
    <n v="17874"/>
    <n v="125118"/>
    <x v="3"/>
    <x v="2"/>
  </r>
  <r>
    <s v="INV-1739"/>
    <x v="279"/>
    <s v="Ahmed Mart"/>
    <x v="2"/>
    <x v="0"/>
    <s v="Mobile"/>
    <n v="19"/>
    <n v="36008"/>
    <n v="684152"/>
    <x v="1"/>
    <x v="0"/>
  </r>
  <r>
    <s v="INV-1740"/>
    <x v="47"/>
    <s v="Ali Traders"/>
    <x v="0"/>
    <x v="0"/>
    <s v="Headphones"/>
    <n v="18"/>
    <n v="12319"/>
    <n v="221742"/>
    <x v="2"/>
    <x v="0"/>
  </r>
  <r>
    <s v="INV-1741"/>
    <x v="74"/>
    <s v="Ahmed Mart"/>
    <x v="3"/>
    <x v="0"/>
    <s v="Mobile"/>
    <n v="5"/>
    <n v="16660"/>
    <n v="83300"/>
    <x v="0"/>
    <x v="2"/>
  </r>
  <r>
    <s v="INV-1742"/>
    <x v="126"/>
    <s v="Ali Traders"/>
    <x v="2"/>
    <x v="3"/>
    <s v="Pen"/>
    <n v="14"/>
    <n v="14950"/>
    <n v="209300"/>
    <x v="1"/>
    <x v="0"/>
  </r>
  <r>
    <s v="INV-1743"/>
    <x v="51"/>
    <s v="Khan Store"/>
    <x v="0"/>
    <x v="1"/>
    <s v="Shirt"/>
    <n v="20"/>
    <n v="22960"/>
    <n v="459200"/>
    <x v="3"/>
    <x v="2"/>
  </r>
  <r>
    <s v="INV-1744"/>
    <x v="75"/>
    <s v="Ali Traders"/>
    <x v="2"/>
    <x v="0"/>
    <s v="Laptop"/>
    <n v="10"/>
    <n v="9819"/>
    <n v="98190"/>
    <x v="1"/>
    <x v="2"/>
  </r>
  <r>
    <s v="INV-1745"/>
    <x v="326"/>
    <s v="Ali Traders"/>
    <x v="2"/>
    <x v="1"/>
    <s v="Shirt"/>
    <n v="4"/>
    <n v="20520"/>
    <n v="82080"/>
    <x v="3"/>
    <x v="0"/>
  </r>
  <r>
    <s v="INV-1746"/>
    <x v="288"/>
    <s v="Zahid Electronics"/>
    <x v="2"/>
    <x v="3"/>
    <s v="Notebook"/>
    <n v="11"/>
    <n v="32368"/>
    <n v="356048"/>
    <x v="0"/>
    <x v="0"/>
  </r>
  <r>
    <s v="INV-1747"/>
    <x v="275"/>
    <s v="Khan Store"/>
    <x v="3"/>
    <x v="2"/>
    <s v="Rice"/>
    <n v="6"/>
    <n v="37552"/>
    <n v="225312"/>
    <x v="3"/>
    <x v="1"/>
  </r>
  <r>
    <s v="INV-1748"/>
    <x v="139"/>
    <s v="Khan Store"/>
    <x v="3"/>
    <x v="1"/>
    <s v="Jeans"/>
    <n v="19"/>
    <n v="19504"/>
    <n v="370576"/>
    <x v="2"/>
    <x v="1"/>
  </r>
  <r>
    <s v="INV-1749"/>
    <x v="11"/>
    <s v="Zahid Electronics"/>
    <x v="1"/>
    <x v="1"/>
    <s v="Shirt"/>
    <n v="8"/>
    <n v="5158"/>
    <n v="41264"/>
    <x v="0"/>
    <x v="2"/>
  </r>
  <r>
    <s v="INV-1750"/>
    <x v="263"/>
    <s v="Ali Traders"/>
    <x v="1"/>
    <x v="2"/>
    <s v="Rice"/>
    <n v="10"/>
    <n v="19866"/>
    <n v="198660"/>
    <x v="3"/>
    <x v="1"/>
  </r>
  <r>
    <s v="INV-1751"/>
    <x v="166"/>
    <s v="Ali Traders"/>
    <x v="1"/>
    <x v="0"/>
    <s v="Headphones"/>
    <n v="20"/>
    <n v="11569"/>
    <n v="231380"/>
    <x v="2"/>
    <x v="0"/>
  </r>
  <r>
    <s v="INV-1752"/>
    <x v="17"/>
    <s v="Usman Enterprises"/>
    <x v="1"/>
    <x v="1"/>
    <s v="Jacket"/>
    <n v="6"/>
    <n v="42933"/>
    <n v="257598"/>
    <x v="0"/>
    <x v="1"/>
  </r>
  <r>
    <s v="INV-1753"/>
    <x v="84"/>
    <s v="Usman Enterprises"/>
    <x v="3"/>
    <x v="0"/>
    <s v="Laptop"/>
    <n v="4"/>
    <n v="13610"/>
    <n v="54440"/>
    <x v="3"/>
    <x v="0"/>
  </r>
  <r>
    <s v="INV-1754"/>
    <x v="66"/>
    <s v="Ahmed Mart"/>
    <x v="2"/>
    <x v="1"/>
    <s v="Shirt"/>
    <n v="14"/>
    <n v="24057"/>
    <n v="336798"/>
    <x v="3"/>
    <x v="2"/>
  </r>
  <r>
    <s v="INV-1755"/>
    <x v="327"/>
    <s v="Ali Traders"/>
    <x v="3"/>
    <x v="1"/>
    <s v="Jeans"/>
    <n v="19"/>
    <n v="31235"/>
    <n v="593465"/>
    <x v="0"/>
    <x v="2"/>
  </r>
  <r>
    <s v="INV-1756"/>
    <x v="273"/>
    <s v="Ahmed Mart"/>
    <x v="2"/>
    <x v="3"/>
    <s v="Pen"/>
    <n v="10"/>
    <n v="25756"/>
    <n v="257560"/>
    <x v="3"/>
    <x v="2"/>
  </r>
  <r>
    <s v="INV-1757"/>
    <x v="7"/>
    <s v="Ahmed Mart"/>
    <x v="2"/>
    <x v="3"/>
    <s v="Marker"/>
    <n v="11"/>
    <n v="3464"/>
    <n v="38104"/>
    <x v="2"/>
    <x v="2"/>
  </r>
  <r>
    <s v="INV-1758"/>
    <x v="81"/>
    <s v="Usman Enterprises"/>
    <x v="1"/>
    <x v="1"/>
    <s v="Shirt"/>
    <n v="9"/>
    <n v="9210"/>
    <n v="82890"/>
    <x v="1"/>
    <x v="2"/>
  </r>
  <r>
    <s v="INV-1759"/>
    <x v="215"/>
    <s v="Ali Traders"/>
    <x v="1"/>
    <x v="3"/>
    <s v="Marker"/>
    <n v="1"/>
    <n v="14395"/>
    <n v="14395"/>
    <x v="3"/>
    <x v="1"/>
  </r>
  <r>
    <s v="INV-1760"/>
    <x v="328"/>
    <s v="Ahmed Mart"/>
    <x v="0"/>
    <x v="2"/>
    <s v="Rice"/>
    <n v="10"/>
    <n v="49405"/>
    <n v="494050"/>
    <x v="0"/>
    <x v="0"/>
  </r>
  <r>
    <s v="INV-1761"/>
    <x v="154"/>
    <s v="Zahid Electronics"/>
    <x v="2"/>
    <x v="2"/>
    <s v="Rice"/>
    <n v="11"/>
    <n v="26791"/>
    <n v="294701"/>
    <x v="0"/>
    <x v="0"/>
  </r>
  <r>
    <s v="INV-1762"/>
    <x v="155"/>
    <s v="Zahid Electronics"/>
    <x v="1"/>
    <x v="3"/>
    <s v="Marker"/>
    <n v="5"/>
    <n v="45241"/>
    <n v="226205"/>
    <x v="3"/>
    <x v="0"/>
  </r>
  <r>
    <s v="INV-1763"/>
    <x v="204"/>
    <s v="Ahmed Mart"/>
    <x v="1"/>
    <x v="1"/>
    <s v="Shirt"/>
    <n v="15"/>
    <n v="29569"/>
    <n v="443535"/>
    <x v="1"/>
    <x v="0"/>
  </r>
  <r>
    <s v="INV-1764"/>
    <x v="108"/>
    <s v="Zahid Electronics"/>
    <x v="1"/>
    <x v="1"/>
    <s v="Shirt"/>
    <n v="1"/>
    <n v="29604"/>
    <n v="29604"/>
    <x v="0"/>
    <x v="2"/>
  </r>
  <r>
    <s v="INV-1765"/>
    <x v="327"/>
    <s v="Ahmed Mart"/>
    <x v="1"/>
    <x v="3"/>
    <s v="Notebook"/>
    <n v="15"/>
    <n v="35561"/>
    <n v="533415"/>
    <x v="0"/>
    <x v="1"/>
  </r>
  <r>
    <s v="INV-1766"/>
    <x v="141"/>
    <s v="Khan Store"/>
    <x v="3"/>
    <x v="3"/>
    <s v="Marker"/>
    <n v="6"/>
    <n v="18754"/>
    <n v="112524"/>
    <x v="2"/>
    <x v="0"/>
  </r>
  <r>
    <s v="INV-1767"/>
    <x v="181"/>
    <s v="Usman Enterprises"/>
    <x v="0"/>
    <x v="3"/>
    <s v="Marker"/>
    <n v="2"/>
    <n v="42096"/>
    <n v="84192"/>
    <x v="3"/>
    <x v="0"/>
  </r>
  <r>
    <s v="INV-1768"/>
    <x v="204"/>
    <s v="Ahmed Mart"/>
    <x v="1"/>
    <x v="1"/>
    <s v="Shirt"/>
    <n v="13"/>
    <n v="47043"/>
    <n v="611559"/>
    <x v="0"/>
    <x v="2"/>
  </r>
  <r>
    <s v="INV-1769"/>
    <x v="88"/>
    <s v="Ali Traders"/>
    <x v="2"/>
    <x v="1"/>
    <s v="Jacket"/>
    <n v="14"/>
    <n v="7088"/>
    <n v="99232"/>
    <x v="0"/>
    <x v="2"/>
  </r>
  <r>
    <s v="INV-1770"/>
    <x v="53"/>
    <s v="Zahid Electronics"/>
    <x v="3"/>
    <x v="2"/>
    <s v="Rice"/>
    <n v="3"/>
    <n v="10016"/>
    <n v="30048"/>
    <x v="0"/>
    <x v="1"/>
  </r>
  <r>
    <s v="INV-1771"/>
    <x v="329"/>
    <s v="Zahid Electronics"/>
    <x v="3"/>
    <x v="0"/>
    <s v="Mobile"/>
    <n v="8"/>
    <n v="43277"/>
    <n v="346216"/>
    <x v="1"/>
    <x v="1"/>
  </r>
  <r>
    <s v="INV-1772"/>
    <x v="330"/>
    <s v="Zahid Electronics"/>
    <x v="2"/>
    <x v="3"/>
    <s v="Marker"/>
    <n v="16"/>
    <n v="44169"/>
    <n v="706704"/>
    <x v="2"/>
    <x v="2"/>
  </r>
  <r>
    <s v="INV-1773"/>
    <x v="57"/>
    <s v="Ahmed Mart"/>
    <x v="1"/>
    <x v="0"/>
    <s v="Mobile"/>
    <n v="13"/>
    <n v="35606"/>
    <n v="462878"/>
    <x v="1"/>
    <x v="1"/>
  </r>
  <r>
    <s v="INV-1774"/>
    <x v="130"/>
    <s v="Usman Enterprises"/>
    <x v="1"/>
    <x v="3"/>
    <s v="Marker"/>
    <n v="8"/>
    <n v="39413"/>
    <n v="315304"/>
    <x v="3"/>
    <x v="2"/>
  </r>
  <r>
    <s v="INV-1775"/>
    <x v="14"/>
    <s v="Ali Traders"/>
    <x v="0"/>
    <x v="1"/>
    <s v="Shirt"/>
    <n v="15"/>
    <n v="20687"/>
    <n v="310305"/>
    <x v="3"/>
    <x v="2"/>
  </r>
  <r>
    <s v="INV-1776"/>
    <x v="292"/>
    <s v="Ali Traders"/>
    <x v="2"/>
    <x v="3"/>
    <s v="Pen"/>
    <n v="8"/>
    <n v="43195"/>
    <n v="345560"/>
    <x v="3"/>
    <x v="0"/>
  </r>
  <r>
    <s v="INV-1777"/>
    <x v="123"/>
    <s v="Zahid Electronics"/>
    <x v="2"/>
    <x v="0"/>
    <s v="Mobile"/>
    <n v="2"/>
    <n v="17350"/>
    <n v="34700"/>
    <x v="1"/>
    <x v="2"/>
  </r>
  <r>
    <s v="INV-1778"/>
    <x v="160"/>
    <s v="Ahmed Mart"/>
    <x v="0"/>
    <x v="0"/>
    <s v="Laptop"/>
    <n v="17"/>
    <n v="1737"/>
    <n v="29529"/>
    <x v="2"/>
    <x v="2"/>
  </r>
  <r>
    <s v="INV-1779"/>
    <x v="324"/>
    <s v="Zahid Electronics"/>
    <x v="0"/>
    <x v="1"/>
    <s v="Jacket"/>
    <n v="2"/>
    <n v="28530"/>
    <n v="57060"/>
    <x v="2"/>
    <x v="0"/>
  </r>
  <r>
    <s v="INV-1780"/>
    <x v="325"/>
    <s v="Zahid Electronics"/>
    <x v="0"/>
    <x v="1"/>
    <s v="Jeans"/>
    <n v="16"/>
    <n v="3579"/>
    <n v="57264"/>
    <x v="0"/>
    <x v="2"/>
  </r>
  <r>
    <s v="INV-1781"/>
    <x v="41"/>
    <s v="Usman Enterprises"/>
    <x v="0"/>
    <x v="2"/>
    <s v="Rice"/>
    <n v="14"/>
    <n v="26840"/>
    <n v="375760"/>
    <x v="3"/>
    <x v="0"/>
  </r>
  <r>
    <s v="INV-1782"/>
    <x v="202"/>
    <s v="Khan Store"/>
    <x v="1"/>
    <x v="0"/>
    <s v="Laptop"/>
    <n v="18"/>
    <n v="623"/>
    <n v="11214"/>
    <x v="2"/>
    <x v="2"/>
  </r>
  <r>
    <s v="INV-1783"/>
    <x v="314"/>
    <s v="Ali Traders"/>
    <x v="0"/>
    <x v="3"/>
    <s v="Notebook"/>
    <n v="20"/>
    <n v="17127"/>
    <n v="342540"/>
    <x v="0"/>
    <x v="2"/>
  </r>
  <r>
    <s v="INV-1784"/>
    <x v="65"/>
    <s v="Ahmed Mart"/>
    <x v="1"/>
    <x v="3"/>
    <s v="Marker"/>
    <n v="13"/>
    <n v="29494"/>
    <n v="383422"/>
    <x v="3"/>
    <x v="2"/>
  </r>
  <r>
    <s v="INV-1785"/>
    <x v="168"/>
    <s v="Ahmed Mart"/>
    <x v="0"/>
    <x v="1"/>
    <s v="Shirt"/>
    <n v="20"/>
    <n v="47806"/>
    <n v="956120"/>
    <x v="3"/>
    <x v="0"/>
  </r>
  <r>
    <s v="INV-1786"/>
    <x v="160"/>
    <s v="Usman Enterprises"/>
    <x v="3"/>
    <x v="1"/>
    <s v="Jacket"/>
    <n v="7"/>
    <n v="10788"/>
    <n v="75516"/>
    <x v="2"/>
    <x v="1"/>
  </r>
  <r>
    <s v="INV-1787"/>
    <x v="119"/>
    <s v="Zahid Electronics"/>
    <x v="0"/>
    <x v="1"/>
    <s v="Jacket"/>
    <n v="17"/>
    <n v="40619"/>
    <n v="690523"/>
    <x v="3"/>
    <x v="1"/>
  </r>
  <r>
    <s v="INV-1788"/>
    <x v="172"/>
    <s v="Khan Store"/>
    <x v="1"/>
    <x v="2"/>
    <s v="Rice"/>
    <n v="10"/>
    <n v="23742"/>
    <n v="237420"/>
    <x v="0"/>
    <x v="0"/>
  </r>
  <r>
    <s v="INV-1789"/>
    <x v="291"/>
    <s v="Khan Store"/>
    <x v="0"/>
    <x v="2"/>
    <s v="Sugar"/>
    <n v="3"/>
    <n v="6492"/>
    <n v="19476"/>
    <x v="2"/>
    <x v="1"/>
  </r>
  <r>
    <s v="INV-1790"/>
    <x v="307"/>
    <s v="Khan Store"/>
    <x v="2"/>
    <x v="1"/>
    <s v="Shirt"/>
    <n v="8"/>
    <n v="36270"/>
    <n v="290160"/>
    <x v="1"/>
    <x v="1"/>
  </r>
  <r>
    <s v="INV-1791"/>
    <x v="331"/>
    <s v="Ahmed Mart"/>
    <x v="2"/>
    <x v="2"/>
    <s v="Oil"/>
    <n v="14"/>
    <n v="43700"/>
    <n v="611800"/>
    <x v="3"/>
    <x v="0"/>
  </r>
  <r>
    <s v="INV-1792"/>
    <x v="270"/>
    <s v="Ahmed Mart"/>
    <x v="0"/>
    <x v="3"/>
    <s v="Marker"/>
    <n v="2"/>
    <n v="2074"/>
    <n v="4148"/>
    <x v="3"/>
    <x v="2"/>
  </r>
  <r>
    <s v="INV-1793"/>
    <x v="204"/>
    <s v="Zahid Electronics"/>
    <x v="0"/>
    <x v="1"/>
    <s v="Jeans"/>
    <n v="17"/>
    <n v="23103"/>
    <n v="392751"/>
    <x v="3"/>
    <x v="1"/>
  </r>
  <r>
    <s v="INV-1794"/>
    <x v="328"/>
    <s v="Ali Traders"/>
    <x v="0"/>
    <x v="0"/>
    <s v="Headphones"/>
    <n v="13"/>
    <n v="25538"/>
    <n v="331994"/>
    <x v="0"/>
    <x v="0"/>
  </r>
  <r>
    <s v="INV-1795"/>
    <x v="59"/>
    <s v="Khan Store"/>
    <x v="2"/>
    <x v="3"/>
    <s v="Marker"/>
    <n v="4"/>
    <n v="38156"/>
    <n v="152624"/>
    <x v="1"/>
    <x v="2"/>
  </r>
  <r>
    <s v="INV-1796"/>
    <x v="192"/>
    <s v="Ali Traders"/>
    <x v="3"/>
    <x v="0"/>
    <s v="Headphones"/>
    <n v="20"/>
    <n v="45873"/>
    <n v="917460"/>
    <x v="0"/>
    <x v="2"/>
  </r>
  <r>
    <s v="INV-1797"/>
    <x v="265"/>
    <s v="Ali Traders"/>
    <x v="0"/>
    <x v="0"/>
    <s v="Laptop"/>
    <n v="2"/>
    <n v="41103"/>
    <n v="82206"/>
    <x v="0"/>
    <x v="1"/>
  </r>
  <r>
    <s v="INV-1798"/>
    <x v="130"/>
    <s v="Khan Store"/>
    <x v="3"/>
    <x v="0"/>
    <s v="Mobile"/>
    <n v="11"/>
    <n v="22551"/>
    <n v="248061"/>
    <x v="3"/>
    <x v="2"/>
  </r>
  <r>
    <s v="INV-1799"/>
    <x v="85"/>
    <s v="Ali Traders"/>
    <x v="2"/>
    <x v="2"/>
    <s v="Oil"/>
    <n v="15"/>
    <n v="31641"/>
    <n v="474615"/>
    <x v="3"/>
    <x v="0"/>
  </r>
  <r>
    <s v="INV-1800"/>
    <x v="254"/>
    <s v="Khan Store"/>
    <x v="3"/>
    <x v="3"/>
    <s v="Pen"/>
    <n v="6"/>
    <n v="25091"/>
    <n v="150546"/>
    <x v="1"/>
    <x v="1"/>
  </r>
  <r>
    <s v="INV-1801"/>
    <x v="227"/>
    <s v="Ahmed Mart"/>
    <x v="1"/>
    <x v="3"/>
    <s v="Notebook"/>
    <n v="4"/>
    <n v="9225"/>
    <n v="36900"/>
    <x v="3"/>
    <x v="0"/>
  </r>
  <r>
    <s v="INV-1802"/>
    <x v="58"/>
    <s v="Zahid Electronics"/>
    <x v="2"/>
    <x v="3"/>
    <s v="Notebook"/>
    <n v="4"/>
    <n v="34619"/>
    <n v="138476"/>
    <x v="1"/>
    <x v="0"/>
  </r>
  <r>
    <s v="INV-1803"/>
    <x v="101"/>
    <s v="Usman Enterprises"/>
    <x v="2"/>
    <x v="3"/>
    <s v="Notebook"/>
    <n v="17"/>
    <n v="35726"/>
    <n v="607342"/>
    <x v="2"/>
    <x v="1"/>
  </r>
  <r>
    <s v="INV-1804"/>
    <x v="255"/>
    <s v="Ahmed Mart"/>
    <x v="1"/>
    <x v="0"/>
    <s v="Headphones"/>
    <n v="16"/>
    <n v="49696"/>
    <n v="795136"/>
    <x v="2"/>
    <x v="0"/>
  </r>
  <r>
    <s v="INV-1805"/>
    <x v="270"/>
    <s v="Ahmed Mart"/>
    <x v="0"/>
    <x v="0"/>
    <s v="Mobile"/>
    <n v="14"/>
    <n v="4311"/>
    <n v="60354"/>
    <x v="0"/>
    <x v="2"/>
  </r>
  <r>
    <s v="INV-1806"/>
    <x v="243"/>
    <s v="Ali Traders"/>
    <x v="2"/>
    <x v="0"/>
    <s v="Mobile"/>
    <n v="9"/>
    <n v="24152"/>
    <n v="217368"/>
    <x v="0"/>
    <x v="2"/>
  </r>
  <r>
    <s v="INV-1807"/>
    <x v="332"/>
    <s v="Khan Store"/>
    <x v="1"/>
    <x v="0"/>
    <s v="Laptop"/>
    <n v="2"/>
    <n v="21153"/>
    <n v="42306"/>
    <x v="0"/>
    <x v="1"/>
  </r>
  <r>
    <s v="INV-1808"/>
    <x v="29"/>
    <s v="Ali Traders"/>
    <x v="3"/>
    <x v="1"/>
    <s v="Jeans"/>
    <n v="1"/>
    <n v="18211"/>
    <n v="18211"/>
    <x v="1"/>
    <x v="2"/>
  </r>
  <r>
    <s v="INV-1809"/>
    <x v="197"/>
    <s v="Ali Traders"/>
    <x v="3"/>
    <x v="2"/>
    <s v="Oil"/>
    <n v="20"/>
    <n v="1713"/>
    <n v="34260"/>
    <x v="2"/>
    <x v="1"/>
  </r>
  <r>
    <s v="INV-1810"/>
    <x v="262"/>
    <s v="Ahmed Mart"/>
    <x v="1"/>
    <x v="2"/>
    <s v="Rice"/>
    <n v="17"/>
    <n v="10519"/>
    <n v="178823"/>
    <x v="3"/>
    <x v="0"/>
  </r>
  <r>
    <s v="INV-1811"/>
    <x v="333"/>
    <s v="Zahid Electronics"/>
    <x v="3"/>
    <x v="0"/>
    <s v="Laptop"/>
    <n v="9"/>
    <n v="4630"/>
    <n v="41670"/>
    <x v="0"/>
    <x v="2"/>
  </r>
  <r>
    <s v="INV-1812"/>
    <x v="226"/>
    <s v="Khan Store"/>
    <x v="3"/>
    <x v="3"/>
    <s v="Pen"/>
    <n v="5"/>
    <n v="39252"/>
    <n v="196260"/>
    <x v="2"/>
    <x v="0"/>
  </r>
  <r>
    <s v="INV-1813"/>
    <x v="215"/>
    <s v="Usman Enterprises"/>
    <x v="3"/>
    <x v="3"/>
    <s v="Marker"/>
    <n v="18"/>
    <n v="35737"/>
    <n v="643266"/>
    <x v="1"/>
    <x v="2"/>
  </r>
  <r>
    <s v="INV-1814"/>
    <x v="30"/>
    <s v="Ali Traders"/>
    <x v="0"/>
    <x v="2"/>
    <s v="Sugar"/>
    <n v="11"/>
    <n v="16215"/>
    <n v="178365"/>
    <x v="2"/>
    <x v="1"/>
  </r>
  <r>
    <s v="INV-1815"/>
    <x v="42"/>
    <s v="Zahid Electronics"/>
    <x v="0"/>
    <x v="0"/>
    <s v="Headphones"/>
    <n v="9"/>
    <n v="10711"/>
    <n v="96399"/>
    <x v="1"/>
    <x v="2"/>
  </r>
  <r>
    <s v="INV-1816"/>
    <x v="164"/>
    <s v="Ali Traders"/>
    <x v="3"/>
    <x v="1"/>
    <s v="Jacket"/>
    <n v="4"/>
    <n v="3925"/>
    <n v="15700"/>
    <x v="3"/>
    <x v="2"/>
  </r>
  <r>
    <s v="INV-1817"/>
    <x v="285"/>
    <s v="Usman Enterprises"/>
    <x v="3"/>
    <x v="2"/>
    <s v="Sugar"/>
    <n v="18"/>
    <n v="46853"/>
    <n v="843354"/>
    <x v="1"/>
    <x v="1"/>
  </r>
  <r>
    <s v="INV-1818"/>
    <x v="4"/>
    <s v="Usman Enterprises"/>
    <x v="2"/>
    <x v="1"/>
    <s v="Jacket"/>
    <n v="12"/>
    <n v="33275"/>
    <n v="399300"/>
    <x v="0"/>
    <x v="1"/>
  </r>
  <r>
    <s v="INV-1819"/>
    <x v="4"/>
    <s v="Usman Enterprises"/>
    <x v="0"/>
    <x v="0"/>
    <s v="Headphones"/>
    <n v="18"/>
    <n v="19770"/>
    <n v="355860"/>
    <x v="0"/>
    <x v="1"/>
  </r>
  <r>
    <s v="INV-1820"/>
    <x v="244"/>
    <s v="Ahmed Mart"/>
    <x v="1"/>
    <x v="2"/>
    <s v="Sugar"/>
    <n v="9"/>
    <n v="47981"/>
    <n v="431829"/>
    <x v="0"/>
    <x v="2"/>
  </r>
  <r>
    <s v="INV-1821"/>
    <x v="126"/>
    <s v="Khan Store"/>
    <x v="3"/>
    <x v="1"/>
    <s v="Jeans"/>
    <n v="12"/>
    <n v="25068"/>
    <n v="300816"/>
    <x v="3"/>
    <x v="1"/>
  </r>
  <r>
    <s v="INV-1822"/>
    <x v="334"/>
    <s v="Khan Store"/>
    <x v="3"/>
    <x v="2"/>
    <s v="Sugar"/>
    <n v="17"/>
    <n v="9820"/>
    <n v="166940"/>
    <x v="2"/>
    <x v="1"/>
  </r>
  <r>
    <s v="INV-1823"/>
    <x v="159"/>
    <s v="Khan Store"/>
    <x v="2"/>
    <x v="2"/>
    <s v="Oil"/>
    <n v="13"/>
    <n v="27590"/>
    <n v="358670"/>
    <x v="1"/>
    <x v="0"/>
  </r>
  <r>
    <s v="INV-1824"/>
    <x v="168"/>
    <s v="Zahid Electronics"/>
    <x v="0"/>
    <x v="1"/>
    <s v="Jacket"/>
    <n v="19"/>
    <n v="32308"/>
    <n v="613852"/>
    <x v="3"/>
    <x v="0"/>
  </r>
  <r>
    <s v="INV-1825"/>
    <x v="4"/>
    <s v="Ali Traders"/>
    <x v="3"/>
    <x v="3"/>
    <s v="Notebook"/>
    <n v="12"/>
    <n v="23887"/>
    <n v="286644"/>
    <x v="1"/>
    <x v="1"/>
  </r>
  <r>
    <s v="INV-1826"/>
    <x v="175"/>
    <s v="Ali Traders"/>
    <x v="2"/>
    <x v="3"/>
    <s v="Notebook"/>
    <n v="10"/>
    <n v="46518"/>
    <n v="465180"/>
    <x v="3"/>
    <x v="2"/>
  </r>
  <r>
    <s v="INV-1827"/>
    <x v="238"/>
    <s v="Usman Enterprises"/>
    <x v="0"/>
    <x v="2"/>
    <s v="Rice"/>
    <n v="19"/>
    <n v="20427"/>
    <n v="388113"/>
    <x v="1"/>
    <x v="2"/>
  </r>
  <r>
    <s v="INV-1828"/>
    <x v="169"/>
    <s v="Khan Store"/>
    <x v="0"/>
    <x v="2"/>
    <s v="Oil"/>
    <n v="8"/>
    <n v="18271"/>
    <n v="146168"/>
    <x v="2"/>
    <x v="1"/>
  </r>
  <r>
    <s v="INV-1829"/>
    <x v="335"/>
    <s v="Usman Enterprises"/>
    <x v="0"/>
    <x v="2"/>
    <s v="Rice"/>
    <n v="13"/>
    <n v="5645"/>
    <n v="73385"/>
    <x v="1"/>
    <x v="2"/>
  </r>
  <r>
    <s v="INV-1830"/>
    <x v="299"/>
    <s v="Khan Store"/>
    <x v="1"/>
    <x v="2"/>
    <s v="Sugar"/>
    <n v="9"/>
    <n v="25716"/>
    <n v="231444"/>
    <x v="1"/>
    <x v="1"/>
  </r>
  <r>
    <s v="INV-1831"/>
    <x v="180"/>
    <s v="Zahid Electronics"/>
    <x v="2"/>
    <x v="1"/>
    <s v="Jacket"/>
    <n v="10"/>
    <n v="39589"/>
    <n v="395890"/>
    <x v="0"/>
    <x v="1"/>
  </r>
  <r>
    <s v="INV-1832"/>
    <x v="6"/>
    <s v="Khan Store"/>
    <x v="0"/>
    <x v="3"/>
    <s v="Pen"/>
    <n v="1"/>
    <n v="21735"/>
    <n v="21735"/>
    <x v="1"/>
    <x v="1"/>
  </r>
  <r>
    <s v="INV-1833"/>
    <x v="322"/>
    <s v="Ahmed Mart"/>
    <x v="2"/>
    <x v="2"/>
    <s v="Oil"/>
    <n v="12"/>
    <n v="27614"/>
    <n v="331368"/>
    <x v="1"/>
    <x v="2"/>
  </r>
  <r>
    <s v="INV-1834"/>
    <x v="39"/>
    <s v="Khan Store"/>
    <x v="2"/>
    <x v="2"/>
    <s v="Rice"/>
    <n v="11"/>
    <n v="3657"/>
    <n v="40227"/>
    <x v="1"/>
    <x v="2"/>
  </r>
  <r>
    <s v="INV-1835"/>
    <x v="278"/>
    <s v="Zahid Electronics"/>
    <x v="3"/>
    <x v="1"/>
    <s v="Jacket"/>
    <n v="17"/>
    <n v="20782"/>
    <n v="353294"/>
    <x v="2"/>
    <x v="1"/>
  </r>
  <r>
    <s v="INV-1836"/>
    <x v="49"/>
    <s v="Ahmed Mart"/>
    <x v="3"/>
    <x v="0"/>
    <s v="Mobile"/>
    <n v="9"/>
    <n v="19306"/>
    <n v="173754"/>
    <x v="3"/>
    <x v="0"/>
  </r>
  <r>
    <s v="INV-1837"/>
    <x v="336"/>
    <s v="Ali Traders"/>
    <x v="3"/>
    <x v="0"/>
    <s v="Laptop"/>
    <n v="13"/>
    <n v="20204"/>
    <n v="262652"/>
    <x v="1"/>
    <x v="2"/>
  </r>
  <r>
    <s v="INV-1838"/>
    <x v="156"/>
    <s v="Ali Traders"/>
    <x v="0"/>
    <x v="1"/>
    <s v="Jacket"/>
    <n v="13"/>
    <n v="42345"/>
    <n v="550485"/>
    <x v="3"/>
    <x v="1"/>
  </r>
  <r>
    <s v="INV-1839"/>
    <x v="173"/>
    <s v="Usman Enterprises"/>
    <x v="1"/>
    <x v="3"/>
    <s v="Notebook"/>
    <n v="17"/>
    <n v="42968"/>
    <n v="730456"/>
    <x v="3"/>
    <x v="0"/>
  </r>
  <r>
    <s v="INV-1840"/>
    <x v="0"/>
    <s v="Khan Store"/>
    <x v="3"/>
    <x v="0"/>
    <s v="Headphones"/>
    <n v="3"/>
    <n v="19200"/>
    <n v="57600"/>
    <x v="2"/>
    <x v="2"/>
  </r>
  <r>
    <s v="INV-1841"/>
    <x v="143"/>
    <s v="Ali Traders"/>
    <x v="0"/>
    <x v="1"/>
    <s v="Jacket"/>
    <n v="7"/>
    <n v="29893"/>
    <n v="209251"/>
    <x v="3"/>
    <x v="2"/>
  </r>
  <r>
    <s v="INV-1842"/>
    <x v="223"/>
    <s v="Ahmed Mart"/>
    <x v="3"/>
    <x v="3"/>
    <s v="Pen"/>
    <n v="11"/>
    <n v="5328"/>
    <n v="58608"/>
    <x v="2"/>
    <x v="1"/>
  </r>
  <r>
    <s v="INV-1843"/>
    <x v="57"/>
    <s v="Ali Traders"/>
    <x v="2"/>
    <x v="0"/>
    <s v="Headphones"/>
    <n v="18"/>
    <n v="46236"/>
    <n v="832248"/>
    <x v="2"/>
    <x v="2"/>
  </r>
  <r>
    <s v="INV-1844"/>
    <x v="141"/>
    <s v="Ahmed Mart"/>
    <x v="1"/>
    <x v="1"/>
    <s v="Jeans"/>
    <n v="11"/>
    <n v="41233"/>
    <n v="453563"/>
    <x v="0"/>
    <x v="0"/>
  </r>
  <r>
    <s v="INV-1845"/>
    <x v="48"/>
    <s v="Khan Store"/>
    <x v="2"/>
    <x v="3"/>
    <s v="Marker"/>
    <n v="13"/>
    <n v="39919"/>
    <n v="518947"/>
    <x v="0"/>
    <x v="1"/>
  </r>
  <r>
    <s v="INV-1846"/>
    <x v="68"/>
    <s v="Zahid Electronics"/>
    <x v="0"/>
    <x v="0"/>
    <s v="Mobile"/>
    <n v="2"/>
    <n v="703"/>
    <n v="1406"/>
    <x v="2"/>
    <x v="0"/>
  </r>
  <r>
    <s v="INV-1847"/>
    <x v="227"/>
    <s v="Usman Enterprises"/>
    <x v="1"/>
    <x v="0"/>
    <s v="Laptop"/>
    <n v="9"/>
    <n v="33392"/>
    <n v="300528"/>
    <x v="0"/>
    <x v="2"/>
  </r>
  <r>
    <s v="INV-1848"/>
    <x v="327"/>
    <s v="Khan Store"/>
    <x v="3"/>
    <x v="3"/>
    <s v="Marker"/>
    <n v="5"/>
    <n v="29803"/>
    <n v="149015"/>
    <x v="3"/>
    <x v="2"/>
  </r>
  <r>
    <s v="INV-1849"/>
    <x v="244"/>
    <s v="Ali Traders"/>
    <x v="0"/>
    <x v="1"/>
    <s v="Jacket"/>
    <n v="14"/>
    <n v="30064"/>
    <n v="420896"/>
    <x v="3"/>
    <x v="0"/>
  </r>
  <r>
    <s v="INV-1850"/>
    <x v="337"/>
    <s v="Ahmed Mart"/>
    <x v="2"/>
    <x v="2"/>
    <s v="Oil"/>
    <n v="11"/>
    <n v="36034"/>
    <n v="396374"/>
    <x v="0"/>
    <x v="2"/>
  </r>
  <r>
    <s v="INV-1851"/>
    <x v="81"/>
    <s v="Khan Store"/>
    <x v="1"/>
    <x v="0"/>
    <s v="Mobile"/>
    <n v="16"/>
    <n v="42512"/>
    <n v="680192"/>
    <x v="1"/>
    <x v="2"/>
  </r>
  <r>
    <s v="INV-1852"/>
    <x v="278"/>
    <s v="Ahmed Mart"/>
    <x v="3"/>
    <x v="0"/>
    <s v="Laptop"/>
    <n v="2"/>
    <n v="36851"/>
    <n v="73702"/>
    <x v="2"/>
    <x v="0"/>
  </r>
  <r>
    <s v="INV-1853"/>
    <x v="224"/>
    <s v="Zahid Electronics"/>
    <x v="1"/>
    <x v="0"/>
    <s v="Headphones"/>
    <n v="12"/>
    <n v="27048"/>
    <n v="324576"/>
    <x v="2"/>
    <x v="0"/>
  </r>
  <r>
    <s v="INV-1854"/>
    <x v="242"/>
    <s v="Zahid Electronics"/>
    <x v="3"/>
    <x v="1"/>
    <s v="Jacket"/>
    <n v="15"/>
    <n v="9705"/>
    <n v="145575"/>
    <x v="2"/>
    <x v="2"/>
  </r>
  <r>
    <s v="INV-1855"/>
    <x v="59"/>
    <s v="Zahid Electronics"/>
    <x v="2"/>
    <x v="1"/>
    <s v="Shirt"/>
    <n v="5"/>
    <n v="3482"/>
    <n v="17410"/>
    <x v="1"/>
    <x v="0"/>
  </r>
  <r>
    <s v="INV-1856"/>
    <x v="262"/>
    <s v="Ahmed Mart"/>
    <x v="2"/>
    <x v="0"/>
    <s v="Headphones"/>
    <n v="4"/>
    <n v="24842"/>
    <n v="99368"/>
    <x v="0"/>
    <x v="0"/>
  </r>
  <r>
    <s v="INV-1857"/>
    <x v="32"/>
    <s v="Ali Traders"/>
    <x v="1"/>
    <x v="1"/>
    <s v="Jeans"/>
    <n v="5"/>
    <n v="22983"/>
    <n v="114915"/>
    <x v="0"/>
    <x v="0"/>
  </r>
  <r>
    <s v="INV-1858"/>
    <x v="46"/>
    <s v="Ali Traders"/>
    <x v="1"/>
    <x v="2"/>
    <s v="Oil"/>
    <n v="16"/>
    <n v="16659"/>
    <n v="266544"/>
    <x v="2"/>
    <x v="1"/>
  </r>
  <r>
    <s v="INV-1859"/>
    <x v="229"/>
    <s v="Khan Store"/>
    <x v="1"/>
    <x v="0"/>
    <s v="Mobile"/>
    <n v="15"/>
    <n v="35689"/>
    <n v="535335"/>
    <x v="2"/>
    <x v="2"/>
  </r>
  <r>
    <s v="INV-1860"/>
    <x v="191"/>
    <s v="Usman Enterprises"/>
    <x v="3"/>
    <x v="0"/>
    <s v="Mobile"/>
    <n v="9"/>
    <n v="9131"/>
    <n v="82179"/>
    <x v="0"/>
    <x v="1"/>
  </r>
  <r>
    <s v="INV-1861"/>
    <x v="38"/>
    <s v="Ali Traders"/>
    <x v="3"/>
    <x v="3"/>
    <s v="Marker"/>
    <n v="18"/>
    <n v="34759"/>
    <n v="625662"/>
    <x v="1"/>
    <x v="1"/>
  </r>
  <r>
    <s v="INV-1862"/>
    <x v="248"/>
    <s v="Ahmed Mart"/>
    <x v="2"/>
    <x v="1"/>
    <s v="Jeans"/>
    <n v="12"/>
    <n v="23187"/>
    <n v="278244"/>
    <x v="1"/>
    <x v="2"/>
  </r>
  <r>
    <s v="INV-1863"/>
    <x v="74"/>
    <s v="Ali Traders"/>
    <x v="0"/>
    <x v="0"/>
    <s v="Headphones"/>
    <n v="3"/>
    <n v="13756"/>
    <n v="41268"/>
    <x v="0"/>
    <x v="1"/>
  </r>
  <r>
    <s v="INV-1864"/>
    <x v="163"/>
    <s v="Ahmed Mart"/>
    <x v="3"/>
    <x v="3"/>
    <s v="Marker"/>
    <n v="16"/>
    <n v="2742"/>
    <n v="43872"/>
    <x v="1"/>
    <x v="2"/>
  </r>
  <r>
    <s v="INV-1865"/>
    <x v="6"/>
    <s v="Zahid Electronics"/>
    <x v="3"/>
    <x v="3"/>
    <s v="Marker"/>
    <n v="14"/>
    <n v="45852"/>
    <n v="641928"/>
    <x v="2"/>
    <x v="1"/>
  </r>
  <r>
    <s v="INV-1866"/>
    <x v="184"/>
    <s v="Ali Traders"/>
    <x v="0"/>
    <x v="3"/>
    <s v="Notebook"/>
    <n v="6"/>
    <n v="38706"/>
    <n v="232236"/>
    <x v="1"/>
    <x v="0"/>
  </r>
  <r>
    <s v="INV-1867"/>
    <x v="38"/>
    <s v="Ahmed Mart"/>
    <x v="3"/>
    <x v="3"/>
    <s v="Marker"/>
    <n v="8"/>
    <n v="9803"/>
    <n v="78424"/>
    <x v="0"/>
    <x v="1"/>
  </r>
  <r>
    <s v="INV-1868"/>
    <x v="338"/>
    <s v="Usman Enterprises"/>
    <x v="3"/>
    <x v="1"/>
    <s v="Jeans"/>
    <n v="3"/>
    <n v="17135"/>
    <n v="51405"/>
    <x v="0"/>
    <x v="0"/>
  </r>
  <r>
    <s v="INV-1869"/>
    <x v="146"/>
    <s v="Khan Store"/>
    <x v="3"/>
    <x v="3"/>
    <s v="Notebook"/>
    <n v="5"/>
    <n v="47082"/>
    <n v="235410"/>
    <x v="2"/>
    <x v="2"/>
  </r>
  <r>
    <s v="INV-1870"/>
    <x v="297"/>
    <s v="Khan Store"/>
    <x v="1"/>
    <x v="2"/>
    <s v="Rice"/>
    <n v="1"/>
    <n v="22037"/>
    <n v="22037"/>
    <x v="3"/>
    <x v="2"/>
  </r>
  <r>
    <s v="INV-1871"/>
    <x v="228"/>
    <s v="Ali Traders"/>
    <x v="2"/>
    <x v="1"/>
    <s v="Jeans"/>
    <n v="20"/>
    <n v="13035"/>
    <n v="260700"/>
    <x v="1"/>
    <x v="2"/>
  </r>
  <r>
    <s v="INV-1872"/>
    <x v="27"/>
    <s v="Zahid Electronics"/>
    <x v="0"/>
    <x v="2"/>
    <s v="Oil"/>
    <n v="17"/>
    <n v="13331"/>
    <n v="226627"/>
    <x v="0"/>
    <x v="2"/>
  </r>
  <r>
    <s v="INV-1873"/>
    <x v="339"/>
    <s v="Ali Traders"/>
    <x v="1"/>
    <x v="3"/>
    <s v="Notebook"/>
    <n v="17"/>
    <n v="12685"/>
    <n v="215645"/>
    <x v="2"/>
    <x v="2"/>
  </r>
  <r>
    <s v="INV-1874"/>
    <x v="102"/>
    <s v="Ahmed Mart"/>
    <x v="0"/>
    <x v="0"/>
    <s v="Laptop"/>
    <n v="15"/>
    <n v="34978"/>
    <n v="524670"/>
    <x v="1"/>
    <x v="0"/>
  </r>
  <r>
    <s v="INV-1875"/>
    <x v="101"/>
    <s v="Usman Enterprises"/>
    <x v="2"/>
    <x v="2"/>
    <s v="Oil"/>
    <n v="13"/>
    <n v="29274"/>
    <n v="380562"/>
    <x v="0"/>
    <x v="1"/>
  </r>
  <r>
    <s v="INV-1876"/>
    <x v="19"/>
    <s v="Ahmed Mart"/>
    <x v="0"/>
    <x v="1"/>
    <s v="Jacket"/>
    <n v="3"/>
    <n v="34084"/>
    <n v="102252"/>
    <x v="1"/>
    <x v="0"/>
  </r>
  <r>
    <s v="INV-1877"/>
    <x v="165"/>
    <s v="Ahmed Mart"/>
    <x v="0"/>
    <x v="1"/>
    <s v="Jeans"/>
    <n v="8"/>
    <n v="16637"/>
    <n v="133096"/>
    <x v="2"/>
    <x v="0"/>
  </r>
  <r>
    <s v="INV-1878"/>
    <x v="259"/>
    <s v="Khan Store"/>
    <x v="1"/>
    <x v="1"/>
    <s v="Jeans"/>
    <n v="11"/>
    <n v="24190"/>
    <n v="266090"/>
    <x v="1"/>
    <x v="2"/>
  </r>
  <r>
    <s v="INV-1879"/>
    <x v="257"/>
    <s v="Khan Store"/>
    <x v="2"/>
    <x v="2"/>
    <s v="Oil"/>
    <n v="9"/>
    <n v="23839"/>
    <n v="214551"/>
    <x v="2"/>
    <x v="1"/>
  </r>
  <r>
    <s v="INV-1880"/>
    <x v="270"/>
    <s v="Ali Traders"/>
    <x v="1"/>
    <x v="3"/>
    <s v="Notebook"/>
    <n v="18"/>
    <n v="1967"/>
    <n v="35406"/>
    <x v="1"/>
    <x v="1"/>
  </r>
  <r>
    <s v="INV-1881"/>
    <x v="74"/>
    <s v="Ahmed Mart"/>
    <x v="3"/>
    <x v="1"/>
    <s v="Jacket"/>
    <n v="12"/>
    <n v="46799"/>
    <n v="561588"/>
    <x v="3"/>
    <x v="1"/>
  </r>
  <r>
    <s v="INV-1882"/>
    <x v="285"/>
    <s v="Khan Store"/>
    <x v="3"/>
    <x v="1"/>
    <s v="Jeans"/>
    <n v="16"/>
    <n v="27764"/>
    <n v="444224"/>
    <x v="2"/>
    <x v="1"/>
  </r>
  <r>
    <s v="INV-1883"/>
    <x v="26"/>
    <s v="Usman Enterprises"/>
    <x v="0"/>
    <x v="0"/>
    <s v="Laptop"/>
    <n v="16"/>
    <n v="38718"/>
    <n v="619488"/>
    <x v="3"/>
    <x v="0"/>
  </r>
  <r>
    <s v="INV-1884"/>
    <x v="336"/>
    <s v="Usman Enterprises"/>
    <x v="1"/>
    <x v="2"/>
    <s v="Sugar"/>
    <n v="8"/>
    <n v="21246"/>
    <n v="169968"/>
    <x v="2"/>
    <x v="2"/>
  </r>
  <r>
    <s v="INV-1885"/>
    <x v="24"/>
    <s v="Ali Traders"/>
    <x v="2"/>
    <x v="1"/>
    <s v="Jacket"/>
    <n v="17"/>
    <n v="31762"/>
    <n v="539954"/>
    <x v="3"/>
    <x v="1"/>
  </r>
  <r>
    <s v="INV-1886"/>
    <x v="228"/>
    <s v="Khan Store"/>
    <x v="1"/>
    <x v="0"/>
    <s v="Mobile"/>
    <n v="13"/>
    <n v="28994"/>
    <n v="376922"/>
    <x v="0"/>
    <x v="2"/>
  </r>
  <r>
    <s v="INV-1887"/>
    <x v="97"/>
    <s v="Usman Enterprises"/>
    <x v="2"/>
    <x v="0"/>
    <s v="Laptop"/>
    <n v="9"/>
    <n v="49576"/>
    <n v="446184"/>
    <x v="0"/>
    <x v="2"/>
  </r>
  <r>
    <s v="INV-1888"/>
    <x v="340"/>
    <s v="Ali Traders"/>
    <x v="2"/>
    <x v="1"/>
    <s v="Shirt"/>
    <n v="11"/>
    <n v="17660"/>
    <n v="194260"/>
    <x v="1"/>
    <x v="2"/>
  </r>
  <r>
    <s v="INV-1889"/>
    <x v="315"/>
    <s v="Ahmed Mart"/>
    <x v="3"/>
    <x v="0"/>
    <s v="Mobile"/>
    <n v="2"/>
    <n v="42180"/>
    <n v="84360"/>
    <x v="3"/>
    <x v="1"/>
  </r>
  <r>
    <s v="INV-1890"/>
    <x v="103"/>
    <s v="Usman Enterprises"/>
    <x v="1"/>
    <x v="2"/>
    <s v="Rice"/>
    <n v="19"/>
    <n v="2086"/>
    <n v="39634"/>
    <x v="0"/>
    <x v="2"/>
  </r>
  <r>
    <s v="INV-1891"/>
    <x v="176"/>
    <s v="Zahid Electronics"/>
    <x v="1"/>
    <x v="2"/>
    <s v="Sugar"/>
    <n v="18"/>
    <n v="25515"/>
    <n v="459270"/>
    <x v="3"/>
    <x v="0"/>
  </r>
  <r>
    <s v="INV-1892"/>
    <x v="197"/>
    <s v="Zahid Electronics"/>
    <x v="1"/>
    <x v="3"/>
    <s v="Marker"/>
    <n v="3"/>
    <n v="13936"/>
    <n v="41808"/>
    <x v="0"/>
    <x v="0"/>
  </r>
  <r>
    <s v="INV-1893"/>
    <x v="152"/>
    <s v="Zahid Electronics"/>
    <x v="3"/>
    <x v="2"/>
    <s v="Oil"/>
    <n v="11"/>
    <n v="36551"/>
    <n v="402061"/>
    <x v="1"/>
    <x v="1"/>
  </r>
  <r>
    <s v="INV-1894"/>
    <x v="78"/>
    <s v="Ali Traders"/>
    <x v="1"/>
    <x v="0"/>
    <s v="Laptop"/>
    <n v="8"/>
    <n v="23499"/>
    <n v="187992"/>
    <x v="3"/>
    <x v="2"/>
  </r>
  <r>
    <s v="INV-1895"/>
    <x v="131"/>
    <s v="Ahmed Mart"/>
    <x v="0"/>
    <x v="0"/>
    <s v="Headphones"/>
    <n v="14"/>
    <n v="8963"/>
    <n v="125482"/>
    <x v="1"/>
    <x v="0"/>
  </r>
  <r>
    <s v="INV-1896"/>
    <x v="183"/>
    <s v="Zahid Electronics"/>
    <x v="0"/>
    <x v="0"/>
    <s v="Mobile"/>
    <n v="7"/>
    <n v="16321"/>
    <n v="114247"/>
    <x v="1"/>
    <x v="2"/>
  </r>
  <r>
    <s v="INV-1897"/>
    <x v="155"/>
    <s v="Zahid Electronics"/>
    <x v="2"/>
    <x v="0"/>
    <s v="Headphones"/>
    <n v="13"/>
    <n v="41699"/>
    <n v="542087"/>
    <x v="0"/>
    <x v="1"/>
  </r>
  <r>
    <s v="INV-1898"/>
    <x v="31"/>
    <s v="Usman Enterprises"/>
    <x v="1"/>
    <x v="0"/>
    <s v="Mobile"/>
    <n v="2"/>
    <n v="35091"/>
    <n v="70182"/>
    <x v="1"/>
    <x v="2"/>
  </r>
  <r>
    <s v="INV-1899"/>
    <x v="169"/>
    <s v="Ahmed Mart"/>
    <x v="0"/>
    <x v="2"/>
    <s v="Sugar"/>
    <n v="10"/>
    <n v="28738"/>
    <n v="287380"/>
    <x v="3"/>
    <x v="1"/>
  </r>
  <r>
    <s v="INV-1900"/>
    <x v="5"/>
    <s v="Ahmed Mart"/>
    <x v="1"/>
    <x v="0"/>
    <s v="Headphones"/>
    <n v="19"/>
    <n v="23843"/>
    <n v="453017"/>
    <x v="0"/>
    <x v="1"/>
  </r>
  <r>
    <s v="INV-1901"/>
    <x v="32"/>
    <s v="Usman Enterprises"/>
    <x v="3"/>
    <x v="0"/>
    <s v="Headphones"/>
    <n v="12"/>
    <n v="49266"/>
    <n v="591192"/>
    <x v="0"/>
    <x v="1"/>
  </r>
  <r>
    <s v="INV-1902"/>
    <x v="265"/>
    <s v="Ali Traders"/>
    <x v="1"/>
    <x v="3"/>
    <s v="Marker"/>
    <n v="14"/>
    <n v="12234"/>
    <n v="171276"/>
    <x v="0"/>
    <x v="0"/>
  </r>
  <r>
    <s v="INV-1903"/>
    <x v="172"/>
    <s v="Ali Traders"/>
    <x v="1"/>
    <x v="3"/>
    <s v="Notebook"/>
    <n v="9"/>
    <n v="12475"/>
    <n v="112275"/>
    <x v="1"/>
    <x v="0"/>
  </r>
  <r>
    <s v="INV-1904"/>
    <x v="275"/>
    <s v="Usman Enterprises"/>
    <x v="2"/>
    <x v="3"/>
    <s v="Notebook"/>
    <n v="16"/>
    <n v="6232"/>
    <n v="99712"/>
    <x v="2"/>
    <x v="1"/>
  </r>
  <r>
    <s v="INV-1905"/>
    <x v="95"/>
    <s v="Ahmed Mart"/>
    <x v="2"/>
    <x v="1"/>
    <s v="Jacket"/>
    <n v="3"/>
    <n v="25484"/>
    <n v="76452"/>
    <x v="0"/>
    <x v="1"/>
  </r>
  <r>
    <s v="INV-1906"/>
    <x v="326"/>
    <s v="Khan Store"/>
    <x v="1"/>
    <x v="1"/>
    <s v="Jeans"/>
    <n v="16"/>
    <n v="17237"/>
    <n v="275792"/>
    <x v="2"/>
    <x v="2"/>
  </r>
  <r>
    <s v="INV-1907"/>
    <x v="128"/>
    <s v="Ahmed Mart"/>
    <x v="0"/>
    <x v="0"/>
    <s v="Mobile"/>
    <n v="11"/>
    <n v="44369"/>
    <n v="488059"/>
    <x v="1"/>
    <x v="2"/>
  </r>
  <r>
    <s v="INV-1908"/>
    <x v="156"/>
    <s v="Ali Traders"/>
    <x v="2"/>
    <x v="1"/>
    <s v="Shirt"/>
    <n v="3"/>
    <n v="28210"/>
    <n v="84630"/>
    <x v="0"/>
    <x v="0"/>
  </r>
  <r>
    <s v="INV-1909"/>
    <x v="341"/>
    <s v="Ali Traders"/>
    <x v="2"/>
    <x v="3"/>
    <s v="Pen"/>
    <n v="18"/>
    <n v="43162"/>
    <n v="776916"/>
    <x v="1"/>
    <x v="0"/>
  </r>
  <r>
    <s v="INV-1910"/>
    <x v="125"/>
    <s v="Ali Traders"/>
    <x v="1"/>
    <x v="0"/>
    <s v="Headphones"/>
    <n v="19"/>
    <n v="32750"/>
    <n v="622250"/>
    <x v="1"/>
    <x v="2"/>
  </r>
  <r>
    <s v="INV-1911"/>
    <x v="236"/>
    <s v="Ali Traders"/>
    <x v="1"/>
    <x v="1"/>
    <s v="Jacket"/>
    <n v="5"/>
    <n v="17597"/>
    <n v="87985"/>
    <x v="1"/>
    <x v="0"/>
  </r>
  <r>
    <s v="INV-1912"/>
    <x v="238"/>
    <s v="Khan Store"/>
    <x v="1"/>
    <x v="2"/>
    <s v="Oil"/>
    <n v="17"/>
    <n v="27382"/>
    <n v="465494"/>
    <x v="2"/>
    <x v="0"/>
  </r>
  <r>
    <s v="INV-1913"/>
    <x v="342"/>
    <s v="Ahmed Mart"/>
    <x v="3"/>
    <x v="0"/>
    <s v="Laptop"/>
    <n v="7"/>
    <n v="6575"/>
    <n v="46025"/>
    <x v="0"/>
    <x v="0"/>
  </r>
  <r>
    <s v="INV-1914"/>
    <x v="179"/>
    <s v="Ahmed Mart"/>
    <x v="1"/>
    <x v="3"/>
    <s v="Pen"/>
    <n v="6"/>
    <n v="49350"/>
    <n v="296100"/>
    <x v="0"/>
    <x v="2"/>
  </r>
  <r>
    <s v="INV-1915"/>
    <x v="115"/>
    <s v="Usman Enterprises"/>
    <x v="2"/>
    <x v="2"/>
    <s v="Oil"/>
    <n v="20"/>
    <n v="28817"/>
    <n v="576340"/>
    <x v="1"/>
    <x v="2"/>
  </r>
  <r>
    <s v="INV-1916"/>
    <x v="60"/>
    <s v="Ahmed Mart"/>
    <x v="2"/>
    <x v="1"/>
    <s v="Jacket"/>
    <n v="10"/>
    <n v="5202"/>
    <n v="52020"/>
    <x v="3"/>
    <x v="1"/>
  </r>
  <r>
    <s v="INV-1917"/>
    <x v="335"/>
    <s v="Khan Store"/>
    <x v="1"/>
    <x v="2"/>
    <s v="Rice"/>
    <n v="6"/>
    <n v="4165"/>
    <n v="24990"/>
    <x v="2"/>
    <x v="0"/>
  </r>
  <r>
    <s v="INV-1918"/>
    <x v="46"/>
    <s v="Usman Enterprises"/>
    <x v="1"/>
    <x v="1"/>
    <s v="Shirt"/>
    <n v="7"/>
    <n v="38924"/>
    <n v="272468"/>
    <x v="1"/>
    <x v="2"/>
  </r>
  <r>
    <s v="INV-1919"/>
    <x v="103"/>
    <s v="Ahmed Mart"/>
    <x v="0"/>
    <x v="0"/>
    <s v="Mobile"/>
    <n v="16"/>
    <n v="9038"/>
    <n v="144608"/>
    <x v="2"/>
    <x v="1"/>
  </r>
  <r>
    <s v="INV-1920"/>
    <x v="27"/>
    <s v="Ali Traders"/>
    <x v="2"/>
    <x v="0"/>
    <s v="Mobile"/>
    <n v="11"/>
    <n v="14303"/>
    <n v="157333"/>
    <x v="3"/>
    <x v="2"/>
  </r>
  <r>
    <s v="INV-1921"/>
    <x v="249"/>
    <s v="Khan Store"/>
    <x v="2"/>
    <x v="2"/>
    <s v="Sugar"/>
    <n v="18"/>
    <n v="29173"/>
    <n v="525114"/>
    <x v="3"/>
    <x v="0"/>
  </r>
  <r>
    <s v="INV-1922"/>
    <x v="127"/>
    <s v="Ahmed Mart"/>
    <x v="3"/>
    <x v="1"/>
    <s v="Jacket"/>
    <n v="17"/>
    <n v="21809"/>
    <n v="370753"/>
    <x v="2"/>
    <x v="0"/>
  </r>
  <r>
    <s v="INV-1923"/>
    <x v="318"/>
    <s v="Usman Enterprises"/>
    <x v="0"/>
    <x v="2"/>
    <s v="Sugar"/>
    <n v="12"/>
    <n v="26791"/>
    <n v="321492"/>
    <x v="2"/>
    <x v="2"/>
  </r>
  <r>
    <s v="INV-1924"/>
    <x v="32"/>
    <s v="Ahmed Mart"/>
    <x v="0"/>
    <x v="3"/>
    <s v="Pen"/>
    <n v="12"/>
    <n v="37327"/>
    <n v="447924"/>
    <x v="1"/>
    <x v="2"/>
  </r>
  <r>
    <s v="INV-1925"/>
    <x v="61"/>
    <s v="Usman Enterprises"/>
    <x v="3"/>
    <x v="1"/>
    <s v="Jacket"/>
    <n v="20"/>
    <n v="37427"/>
    <n v="748540"/>
    <x v="0"/>
    <x v="0"/>
  </r>
  <r>
    <s v="INV-1926"/>
    <x v="196"/>
    <s v="Zahid Electronics"/>
    <x v="1"/>
    <x v="0"/>
    <s v="Mobile"/>
    <n v="12"/>
    <n v="6014"/>
    <n v="72168"/>
    <x v="0"/>
    <x v="1"/>
  </r>
  <r>
    <s v="INV-1927"/>
    <x v="154"/>
    <s v="Khan Store"/>
    <x v="0"/>
    <x v="1"/>
    <s v="Jacket"/>
    <n v="8"/>
    <n v="36651"/>
    <n v="293208"/>
    <x v="3"/>
    <x v="1"/>
  </r>
  <r>
    <s v="INV-1928"/>
    <x v="343"/>
    <s v="Ali Traders"/>
    <x v="0"/>
    <x v="1"/>
    <s v="Shirt"/>
    <n v="1"/>
    <n v="29467"/>
    <n v="29467"/>
    <x v="0"/>
    <x v="2"/>
  </r>
  <r>
    <s v="INV-1929"/>
    <x v="119"/>
    <s v="Ahmed Mart"/>
    <x v="1"/>
    <x v="0"/>
    <s v="Laptop"/>
    <n v="15"/>
    <n v="30600"/>
    <n v="459000"/>
    <x v="3"/>
    <x v="2"/>
  </r>
  <r>
    <s v="INV-1930"/>
    <x v="220"/>
    <s v="Ali Traders"/>
    <x v="2"/>
    <x v="2"/>
    <s v="Oil"/>
    <n v="3"/>
    <n v="11836"/>
    <n v="35508"/>
    <x v="2"/>
    <x v="0"/>
  </r>
  <r>
    <s v="INV-1931"/>
    <x v="3"/>
    <s v="Usman Enterprises"/>
    <x v="2"/>
    <x v="1"/>
    <s v="Shirt"/>
    <n v="9"/>
    <n v="35246"/>
    <n v="317214"/>
    <x v="0"/>
    <x v="2"/>
  </r>
  <r>
    <s v="INV-1932"/>
    <x v="34"/>
    <s v="Ali Traders"/>
    <x v="1"/>
    <x v="1"/>
    <s v="Jacket"/>
    <n v="9"/>
    <n v="21715"/>
    <n v="195435"/>
    <x v="2"/>
    <x v="1"/>
  </r>
  <r>
    <s v="INV-1933"/>
    <x v="22"/>
    <s v="Usman Enterprises"/>
    <x v="3"/>
    <x v="2"/>
    <s v="Oil"/>
    <n v="19"/>
    <n v="33701"/>
    <n v="640319"/>
    <x v="1"/>
    <x v="0"/>
  </r>
  <r>
    <s v="INV-1934"/>
    <x v="324"/>
    <s v="Ahmed Mart"/>
    <x v="2"/>
    <x v="0"/>
    <s v="Headphones"/>
    <n v="20"/>
    <n v="10748"/>
    <n v="214960"/>
    <x v="0"/>
    <x v="2"/>
  </r>
  <r>
    <s v="INV-1935"/>
    <x v="52"/>
    <s v="Usman Enterprises"/>
    <x v="3"/>
    <x v="2"/>
    <s v="Rice"/>
    <n v="8"/>
    <n v="25532"/>
    <n v="204256"/>
    <x v="2"/>
    <x v="0"/>
  </r>
  <r>
    <s v="INV-1936"/>
    <x v="81"/>
    <s v="Khan Store"/>
    <x v="0"/>
    <x v="0"/>
    <s v="Mobile"/>
    <n v="7"/>
    <n v="41484"/>
    <n v="290388"/>
    <x v="2"/>
    <x v="1"/>
  </r>
  <r>
    <s v="INV-1937"/>
    <x v="44"/>
    <s v="Zahid Electronics"/>
    <x v="2"/>
    <x v="0"/>
    <s v="Laptop"/>
    <n v="15"/>
    <n v="19947"/>
    <n v="299205"/>
    <x v="3"/>
    <x v="0"/>
  </r>
  <r>
    <s v="INV-1938"/>
    <x v="272"/>
    <s v="Zahid Electronics"/>
    <x v="0"/>
    <x v="2"/>
    <s v="Sugar"/>
    <n v="3"/>
    <n v="8488"/>
    <n v="25464"/>
    <x v="3"/>
    <x v="0"/>
  </r>
  <r>
    <s v="INV-1939"/>
    <x v="44"/>
    <s v="Zahid Electronics"/>
    <x v="2"/>
    <x v="1"/>
    <s v="Shirt"/>
    <n v="2"/>
    <n v="2886"/>
    <n v="5772"/>
    <x v="3"/>
    <x v="2"/>
  </r>
  <r>
    <s v="INV-1940"/>
    <x v="160"/>
    <s v="Ahmed Mart"/>
    <x v="0"/>
    <x v="2"/>
    <s v="Oil"/>
    <n v="6"/>
    <n v="40535"/>
    <n v="243210"/>
    <x v="1"/>
    <x v="1"/>
  </r>
  <r>
    <s v="INV-1941"/>
    <x v="54"/>
    <s v="Ahmed Mart"/>
    <x v="1"/>
    <x v="0"/>
    <s v="Headphones"/>
    <n v="7"/>
    <n v="28762"/>
    <n v="201334"/>
    <x v="1"/>
    <x v="1"/>
  </r>
  <r>
    <s v="INV-1942"/>
    <x v="302"/>
    <s v="Khan Store"/>
    <x v="2"/>
    <x v="3"/>
    <s v="Notebook"/>
    <n v="3"/>
    <n v="39316"/>
    <n v="117948"/>
    <x v="2"/>
    <x v="0"/>
  </r>
  <r>
    <s v="INV-1943"/>
    <x v="140"/>
    <s v="Usman Enterprises"/>
    <x v="2"/>
    <x v="2"/>
    <s v="Sugar"/>
    <n v="17"/>
    <n v="28556"/>
    <n v="485452"/>
    <x v="1"/>
    <x v="0"/>
  </r>
  <r>
    <s v="INV-1944"/>
    <x v="261"/>
    <s v="Ali Traders"/>
    <x v="1"/>
    <x v="3"/>
    <s v="Marker"/>
    <n v="19"/>
    <n v="11129"/>
    <n v="211451"/>
    <x v="1"/>
    <x v="1"/>
  </r>
  <r>
    <s v="INV-1945"/>
    <x v="297"/>
    <s v="Usman Enterprises"/>
    <x v="1"/>
    <x v="3"/>
    <s v="Pen"/>
    <n v="1"/>
    <n v="17119"/>
    <n v="17119"/>
    <x v="0"/>
    <x v="0"/>
  </r>
  <r>
    <s v="INV-1946"/>
    <x v="60"/>
    <s v="Ahmed Mart"/>
    <x v="1"/>
    <x v="0"/>
    <s v="Laptop"/>
    <n v="19"/>
    <n v="29989"/>
    <n v="569791"/>
    <x v="3"/>
    <x v="1"/>
  </r>
  <r>
    <s v="INV-1947"/>
    <x v="0"/>
    <s v="Khan Store"/>
    <x v="1"/>
    <x v="3"/>
    <s v="Pen"/>
    <n v="19"/>
    <n v="29940"/>
    <n v="568860"/>
    <x v="1"/>
    <x v="0"/>
  </r>
  <r>
    <s v="INV-1948"/>
    <x v="94"/>
    <s v="Ahmed Mart"/>
    <x v="3"/>
    <x v="1"/>
    <s v="Jeans"/>
    <n v="2"/>
    <n v="1030"/>
    <n v="2060"/>
    <x v="1"/>
    <x v="1"/>
  </r>
  <r>
    <s v="INV-1949"/>
    <x v="34"/>
    <s v="Usman Enterprises"/>
    <x v="3"/>
    <x v="0"/>
    <s v="Mobile"/>
    <n v="4"/>
    <n v="10986"/>
    <n v="43944"/>
    <x v="2"/>
    <x v="1"/>
  </r>
  <r>
    <s v="INV-1950"/>
    <x v="41"/>
    <s v="Khan Store"/>
    <x v="2"/>
    <x v="0"/>
    <s v="Headphones"/>
    <n v="11"/>
    <n v="41790"/>
    <n v="459690"/>
    <x v="2"/>
    <x v="0"/>
  </r>
  <r>
    <s v="INV-1951"/>
    <x v="305"/>
    <s v="Zahid Electronics"/>
    <x v="0"/>
    <x v="3"/>
    <s v="Notebook"/>
    <n v="1"/>
    <n v="28475"/>
    <n v="28475"/>
    <x v="3"/>
    <x v="0"/>
  </r>
  <r>
    <s v="INV-1952"/>
    <x v="205"/>
    <s v="Khan Store"/>
    <x v="3"/>
    <x v="2"/>
    <s v="Rice"/>
    <n v="8"/>
    <n v="24692"/>
    <n v="197536"/>
    <x v="3"/>
    <x v="0"/>
  </r>
  <r>
    <s v="INV-1953"/>
    <x v="140"/>
    <s v="Usman Enterprises"/>
    <x v="2"/>
    <x v="0"/>
    <s v="Laptop"/>
    <n v="15"/>
    <n v="40599"/>
    <n v="608985"/>
    <x v="3"/>
    <x v="2"/>
  </r>
  <r>
    <s v="INV-1954"/>
    <x v="90"/>
    <s v="Zahid Electronics"/>
    <x v="1"/>
    <x v="2"/>
    <s v="Rice"/>
    <n v="2"/>
    <n v="34792"/>
    <n v="69584"/>
    <x v="2"/>
    <x v="1"/>
  </r>
  <r>
    <s v="INV-1955"/>
    <x v="19"/>
    <s v="Usman Enterprises"/>
    <x v="1"/>
    <x v="2"/>
    <s v="Oil"/>
    <n v="9"/>
    <n v="49873"/>
    <n v="448857"/>
    <x v="2"/>
    <x v="2"/>
  </r>
  <r>
    <s v="INV-1956"/>
    <x v="219"/>
    <s v="Ahmed Mart"/>
    <x v="2"/>
    <x v="1"/>
    <s v="Jeans"/>
    <n v="20"/>
    <n v="30169"/>
    <n v="603380"/>
    <x v="1"/>
    <x v="1"/>
  </r>
  <r>
    <s v="INV-1957"/>
    <x v="271"/>
    <s v="Ahmed Mart"/>
    <x v="3"/>
    <x v="0"/>
    <s v="Mobile"/>
    <n v="9"/>
    <n v="7386"/>
    <n v="66474"/>
    <x v="0"/>
    <x v="2"/>
  </r>
  <r>
    <s v="INV-1958"/>
    <x v="274"/>
    <s v="Ahmed Mart"/>
    <x v="1"/>
    <x v="1"/>
    <s v="Jeans"/>
    <n v="10"/>
    <n v="1411"/>
    <n v="14110"/>
    <x v="3"/>
    <x v="2"/>
  </r>
  <r>
    <s v="INV-1959"/>
    <x v="280"/>
    <s v="Zahid Electronics"/>
    <x v="2"/>
    <x v="1"/>
    <s v="Jeans"/>
    <n v="17"/>
    <n v="29477"/>
    <n v="501109"/>
    <x v="0"/>
    <x v="0"/>
  </r>
  <r>
    <s v="INV-1960"/>
    <x v="69"/>
    <s v="Zahid Electronics"/>
    <x v="3"/>
    <x v="0"/>
    <s v="Mobile"/>
    <n v="1"/>
    <n v="12757"/>
    <n v="12757"/>
    <x v="1"/>
    <x v="1"/>
  </r>
  <r>
    <s v="INV-1961"/>
    <x v="108"/>
    <s v="Ali Traders"/>
    <x v="1"/>
    <x v="0"/>
    <s v="Laptop"/>
    <n v="16"/>
    <n v="46185"/>
    <n v="738960"/>
    <x v="3"/>
    <x v="2"/>
  </r>
  <r>
    <s v="INV-1962"/>
    <x v="246"/>
    <s v="Khan Store"/>
    <x v="1"/>
    <x v="0"/>
    <s v="Mobile"/>
    <n v="20"/>
    <n v="28482"/>
    <n v="569640"/>
    <x v="0"/>
    <x v="2"/>
  </r>
  <r>
    <s v="INV-1963"/>
    <x v="15"/>
    <s v="Khan Store"/>
    <x v="2"/>
    <x v="1"/>
    <s v="Shirt"/>
    <n v="13"/>
    <n v="3532"/>
    <n v="45916"/>
    <x v="2"/>
    <x v="2"/>
  </r>
  <r>
    <s v="INV-1964"/>
    <x v="330"/>
    <s v="Khan Store"/>
    <x v="1"/>
    <x v="2"/>
    <s v="Oil"/>
    <n v="2"/>
    <n v="28498"/>
    <n v="56996"/>
    <x v="2"/>
    <x v="2"/>
  </r>
  <r>
    <s v="INV-1965"/>
    <x v="344"/>
    <s v="Khan Store"/>
    <x v="0"/>
    <x v="0"/>
    <s v="Laptop"/>
    <n v="11"/>
    <n v="42215"/>
    <n v="464365"/>
    <x v="1"/>
    <x v="2"/>
  </r>
  <r>
    <s v="INV-1966"/>
    <x v="219"/>
    <s v="Usman Enterprises"/>
    <x v="0"/>
    <x v="3"/>
    <s v="Marker"/>
    <n v="16"/>
    <n v="13077"/>
    <n v="209232"/>
    <x v="1"/>
    <x v="2"/>
  </r>
  <r>
    <s v="INV-1967"/>
    <x v="260"/>
    <s v="Ahmed Mart"/>
    <x v="1"/>
    <x v="3"/>
    <s v="Marker"/>
    <n v="7"/>
    <n v="49398"/>
    <n v="345786"/>
    <x v="0"/>
    <x v="2"/>
  </r>
  <r>
    <s v="INV-1968"/>
    <x v="201"/>
    <s v="Ahmed Mart"/>
    <x v="1"/>
    <x v="0"/>
    <s v="Headphones"/>
    <n v="5"/>
    <n v="43665"/>
    <n v="218325"/>
    <x v="2"/>
    <x v="2"/>
  </r>
  <r>
    <s v="INV-1969"/>
    <x v="328"/>
    <s v="Zahid Electronics"/>
    <x v="3"/>
    <x v="3"/>
    <s v="Marker"/>
    <n v="6"/>
    <n v="8499"/>
    <n v="50994"/>
    <x v="0"/>
    <x v="2"/>
  </r>
  <r>
    <s v="INV-1970"/>
    <x v="179"/>
    <s v="Usman Enterprises"/>
    <x v="1"/>
    <x v="3"/>
    <s v="Marker"/>
    <n v="6"/>
    <n v="30072"/>
    <n v="180432"/>
    <x v="2"/>
    <x v="2"/>
  </r>
  <r>
    <s v="INV-1971"/>
    <x v="78"/>
    <s v="Zahid Electronics"/>
    <x v="3"/>
    <x v="2"/>
    <s v="Oil"/>
    <n v="3"/>
    <n v="34844"/>
    <n v="104532"/>
    <x v="1"/>
    <x v="2"/>
  </r>
  <r>
    <s v="INV-1972"/>
    <x v="34"/>
    <s v="Khan Store"/>
    <x v="0"/>
    <x v="2"/>
    <s v="Oil"/>
    <n v="4"/>
    <n v="11551"/>
    <n v="46204"/>
    <x v="1"/>
    <x v="0"/>
  </r>
  <r>
    <s v="INV-1973"/>
    <x v="295"/>
    <s v="Usman Enterprises"/>
    <x v="3"/>
    <x v="2"/>
    <s v="Sugar"/>
    <n v="20"/>
    <n v="17810"/>
    <n v="356200"/>
    <x v="2"/>
    <x v="0"/>
  </r>
  <r>
    <s v="INV-1974"/>
    <x v="117"/>
    <s v="Ahmed Mart"/>
    <x v="3"/>
    <x v="3"/>
    <s v="Pen"/>
    <n v="18"/>
    <n v="23427"/>
    <n v="421686"/>
    <x v="2"/>
    <x v="1"/>
  </r>
  <r>
    <s v="INV-1975"/>
    <x v="91"/>
    <s v="Ahmed Mart"/>
    <x v="3"/>
    <x v="1"/>
    <s v="Jacket"/>
    <n v="14"/>
    <n v="33202"/>
    <n v="464828"/>
    <x v="3"/>
    <x v="2"/>
  </r>
  <r>
    <s v="INV-1976"/>
    <x v="280"/>
    <s v="Usman Enterprises"/>
    <x v="0"/>
    <x v="1"/>
    <s v="Shirt"/>
    <n v="14"/>
    <n v="49884"/>
    <n v="698376"/>
    <x v="1"/>
    <x v="2"/>
  </r>
  <r>
    <s v="INV-1977"/>
    <x v="20"/>
    <s v="Khan Store"/>
    <x v="0"/>
    <x v="3"/>
    <s v="Notebook"/>
    <n v="18"/>
    <n v="38159"/>
    <n v="686862"/>
    <x v="2"/>
    <x v="0"/>
  </r>
  <r>
    <s v="INV-1978"/>
    <x v="192"/>
    <s v="Khan Store"/>
    <x v="3"/>
    <x v="0"/>
    <s v="Mobile"/>
    <n v="20"/>
    <n v="21879"/>
    <n v="437580"/>
    <x v="3"/>
    <x v="0"/>
  </r>
  <r>
    <s v="INV-1979"/>
    <x v="46"/>
    <s v="Zahid Electronics"/>
    <x v="1"/>
    <x v="3"/>
    <s v="Notebook"/>
    <n v="18"/>
    <n v="31659"/>
    <n v="569862"/>
    <x v="3"/>
    <x v="2"/>
  </r>
  <r>
    <s v="INV-1980"/>
    <x v="104"/>
    <s v="Usman Enterprises"/>
    <x v="2"/>
    <x v="1"/>
    <s v="Jacket"/>
    <n v="4"/>
    <n v="16287"/>
    <n v="65148"/>
    <x v="2"/>
    <x v="2"/>
  </r>
  <r>
    <s v="INV-1981"/>
    <x v="95"/>
    <s v="Zahid Electronics"/>
    <x v="2"/>
    <x v="3"/>
    <s v="Notebook"/>
    <n v="17"/>
    <n v="47411"/>
    <n v="805987"/>
    <x v="1"/>
    <x v="2"/>
  </r>
  <r>
    <s v="INV-1982"/>
    <x v="178"/>
    <s v="Usman Enterprises"/>
    <x v="2"/>
    <x v="3"/>
    <s v="Pen"/>
    <n v="17"/>
    <n v="45453"/>
    <n v="772701"/>
    <x v="0"/>
    <x v="0"/>
  </r>
  <r>
    <s v="INV-1983"/>
    <x v="284"/>
    <s v="Ahmed Mart"/>
    <x v="2"/>
    <x v="0"/>
    <s v="Headphones"/>
    <n v="13"/>
    <n v="33559"/>
    <n v="436267"/>
    <x v="3"/>
    <x v="2"/>
  </r>
  <r>
    <s v="INV-1984"/>
    <x v="271"/>
    <s v="Zahid Electronics"/>
    <x v="3"/>
    <x v="3"/>
    <s v="Notebook"/>
    <n v="10"/>
    <n v="49510"/>
    <n v="495100"/>
    <x v="3"/>
    <x v="0"/>
  </r>
  <r>
    <s v="INV-1985"/>
    <x v="342"/>
    <s v="Usman Enterprises"/>
    <x v="3"/>
    <x v="2"/>
    <s v="Sugar"/>
    <n v="9"/>
    <n v="36175"/>
    <n v="325575"/>
    <x v="0"/>
    <x v="1"/>
  </r>
  <r>
    <s v="INV-1986"/>
    <x v="130"/>
    <s v="Usman Enterprises"/>
    <x v="1"/>
    <x v="3"/>
    <s v="Pen"/>
    <n v="4"/>
    <n v="29356"/>
    <n v="117424"/>
    <x v="2"/>
    <x v="0"/>
  </r>
  <r>
    <s v="INV-1987"/>
    <x v="225"/>
    <s v="Ahmed Mart"/>
    <x v="1"/>
    <x v="1"/>
    <s v="Shirt"/>
    <n v="18"/>
    <n v="38502"/>
    <n v="693036"/>
    <x v="1"/>
    <x v="0"/>
  </r>
  <r>
    <s v="INV-1988"/>
    <x v="240"/>
    <s v="Ali Traders"/>
    <x v="3"/>
    <x v="2"/>
    <s v="Oil"/>
    <n v="9"/>
    <n v="1432"/>
    <n v="12888"/>
    <x v="3"/>
    <x v="0"/>
  </r>
  <r>
    <s v="INV-1989"/>
    <x v="15"/>
    <s v="Zahid Electronics"/>
    <x v="0"/>
    <x v="1"/>
    <s v="Jacket"/>
    <n v="3"/>
    <n v="47109"/>
    <n v="141327"/>
    <x v="3"/>
    <x v="1"/>
  </r>
  <r>
    <s v="INV-1990"/>
    <x v="174"/>
    <s v="Khan Store"/>
    <x v="2"/>
    <x v="3"/>
    <s v="Pen"/>
    <n v="17"/>
    <n v="20880"/>
    <n v="354960"/>
    <x v="1"/>
    <x v="1"/>
  </r>
  <r>
    <s v="INV-1991"/>
    <x v="136"/>
    <s v="Ahmed Mart"/>
    <x v="3"/>
    <x v="3"/>
    <s v="Pen"/>
    <n v="8"/>
    <n v="34633"/>
    <n v="277064"/>
    <x v="3"/>
    <x v="0"/>
  </r>
  <r>
    <s v="INV-1992"/>
    <x v="69"/>
    <s v="Ali Traders"/>
    <x v="0"/>
    <x v="3"/>
    <s v="Marker"/>
    <n v="2"/>
    <n v="12398"/>
    <n v="24796"/>
    <x v="1"/>
    <x v="0"/>
  </r>
  <r>
    <s v="INV-1993"/>
    <x v="345"/>
    <s v="Ali Traders"/>
    <x v="3"/>
    <x v="0"/>
    <s v="Mobile"/>
    <n v="9"/>
    <n v="21738"/>
    <n v="195642"/>
    <x v="0"/>
    <x v="1"/>
  </r>
  <r>
    <s v="INV-1994"/>
    <x v="60"/>
    <s v="Ahmed Mart"/>
    <x v="0"/>
    <x v="0"/>
    <s v="Mobile"/>
    <n v="1"/>
    <n v="41620"/>
    <n v="41620"/>
    <x v="3"/>
    <x v="0"/>
  </r>
  <r>
    <s v="INV-1995"/>
    <x v="346"/>
    <s v="Ahmed Mart"/>
    <x v="0"/>
    <x v="0"/>
    <s v="Mobile"/>
    <n v="7"/>
    <n v="38942"/>
    <n v="272594"/>
    <x v="2"/>
    <x v="1"/>
  </r>
  <r>
    <s v="INV-1996"/>
    <x v="39"/>
    <s v="Khan Store"/>
    <x v="0"/>
    <x v="0"/>
    <s v="Mobile"/>
    <n v="1"/>
    <n v="716"/>
    <n v="716"/>
    <x v="2"/>
    <x v="0"/>
  </r>
  <r>
    <s v="INV-1997"/>
    <x v="189"/>
    <s v="Usman Enterprises"/>
    <x v="0"/>
    <x v="0"/>
    <s v="Mobile"/>
    <n v="5"/>
    <n v="13150"/>
    <n v="65750"/>
    <x v="3"/>
    <x v="0"/>
  </r>
  <r>
    <s v="INV-1998"/>
    <x v="51"/>
    <s v="Ali Traders"/>
    <x v="1"/>
    <x v="0"/>
    <s v="Mobile"/>
    <n v="4"/>
    <n v="31120"/>
    <n v="124480"/>
    <x v="2"/>
    <x v="1"/>
  </r>
  <r>
    <s v="INV-1999"/>
    <x v="347"/>
    <s v="Usman Enterprises"/>
    <x v="2"/>
    <x v="0"/>
    <s v="Headphones"/>
    <n v="10"/>
    <n v="48984"/>
    <n v="489840"/>
    <x v="3"/>
    <x v="1"/>
  </r>
  <r>
    <s v="INV-2000"/>
    <x v="147"/>
    <s v="Ali Traders"/>
    <x v="1"/>
    <x v="3"/>
    <s v="Marker"/>
    <n v="18"/>
    <n v="35032"/>
    <n v="630576"/>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9E290C-CD52-441C-97D0-ED8D0D0D931C}" name="Pivot_Region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13">
    <pivotField showAll="0"/>
    <pivotField numFmtId="164" showAll="0">
      <items count="349">
        <item x="198"/>
        <item x="288"/>
        <item x="265"/>
        <item x="93"/>
        <item x="91"/>
        <item x="299"/>
        <item x="102"/>
        <item x="236"/>
        <item x="56"/>
        <item x="31"/>
        <item x="328"/>
        <item x="290"/>
        <item x="98"/>
        <item x="322"/>
        <item x="126"/>
        <item x="110"/>
        <item x="148"/>
        <item x="171"/>
        <item x="22"/>
        <item x="179"/>
        <item x="267"/>
        <item x="132"/>
        <item x="131"/>
        <item x="27"/>
        <item x="242"/>
        <item x="160"/>
        <item x="180"/>
        <item x="66"/>
        <item x="121"/>
        <item x="319"/>
        <item x="123"/>
        <item x="137"/>
        <item x="224"/>
        <item x="143"/>
        <item x="85"/>
        <item x="82"/>
        <item x="310"/>
        <item x="184"/>
        <item x="320"/>
        <item x="259"/>
        <item x="129"/>
        <item x="273"/>
        <item x="54"/>
        <item x="185"/>
        <item x="303"/>
        <item x="69"/>
        <item x="114"/>
        <item x="292"/>
        <item x="15"/>
        <item x="210"/>
        <item x="206"/>
        <item x="19"/>
        <item x="221"/>
        <item x="145"/>
        <item x="29"/>
        <item x="338"/>
        <item x="318"/>
        <item x="103"/>
        <item x="3"/>
        <item x="166"/>
        <item x="271"/>
        <item x="64"/>
        <item x="287"/>
        <item x="100"/>
        <item x="168"/>
        <item x="215"/>
        <item x="174"/>
        <item x="36"/>
        <item x="283"/>
        <item x="8"/>
        <item x="231"/>
        <item x="195"/>
        <item x="163"/>
        <item x="291"/>
        <item x="300"/>
        <item x="39"/>
        <item x="304"/>
        <item x="46"/>
        <item x="306"/>
        <item x="97"/>
        <item x="337"/>
        <item x="70"/>
        <item x="2"/>
        <item x="257"/>
        <item x="336"/>
        <item x="5"/>
        <item x="158"/>
        <item x="235"/>
        <item x="127"/>
        <item x="343"/>
        <item x="43"/>
        <item x="183"/>
        <item x="155"/>
        <item x="10"/>
        <item x="37"/>
        <item x="124"/>
        <item x="118"/>
        <item x="38"/>
        <item x="176"/>
        <item x="73"/>
        <item x="67"/>
        <item x="245"/>
        <item x="108"/>
        <item x="196"/>
        <item x="295"/>
        <item x="237"/>
        <item x="120"/>
        <item x="133"/>
        <item x="214"/>
        <item x="13"/>
        <item x="327"/>
        <item x="277"/>
        <item x="268"/>
        <item x="96"/>
        <item x="59"/>
        <item x="305"/>
        <item x="58"/>
        <item x="263"/>
        <item x="243"/>
        <item x="75"/>
        <item x="101"/>
        <item x="88"/>
        <item x="86"/>
        <item x="222"/>
        <item x="34"/>
        <item x="234"/>
        <item x="14"/>
        <item x="147"/>
        <item x="128"/>
        <item x="270"/>
        <item x="87"/>
        <item x="192"/>
        <item x="182"/>
        <item x="186"/>
        <item x="80"/>
        <item x="217"/>
        <item x="191"/>
        <item x="262"/>
        <item x="41"/>
        <item x="190"/>
        <item x="203"/>
        <item x="188"/>
        <item x="150"/>
        <item x="294"/>
        <item x="156"/>
        <item x="189"/>
        <item x="204"/>
        <item x="136"/>
        <item x="254"/>
        <item x="164"/>
        <item x="0"/>
        <item x="227"/>
        <item x="30"/>
        <item x="339"/>
        <item x="141"/>
        <item x="1"/>
        <item x="7"/>
        <item x="92"/>
        <item x="157"/>
        <item x="23"/>
        <item x="329"/>
        <item x="122"/>
        <item x="173"/>
        <item x="251"/>
        <item x="167"/>
        <item x="57"/>
        <item x="269"/>
        <item x="105"/>
        <item x="178"/>
        <item x="201"/>
        <item x="311"/>
        <item x="106"/>
        <item x="81"/>
        <item x="281"/>
        <item x="229"/>
        <item x="309"/>
        <item x="276"/>
        <item x="238"/>
        <item x="52"/>
        <item x="169"/>
        <item x="202"/>
        <item x="146"/>
        <item x="345"/>
        <item x="252"/>
        <item x="244"/>
        <item x="250"/>
        <item x="130"/>
        <item x="335"/>
        <item x="144"/>
        <item x="177"/>
        <item x="49"/>
        <item x="48"/>
        <item x="50"/>
        <item x="223"/>
        <item x="314"/>
        <item x="20"/>
        <item x="44"/>
        <item x="330"/>
        <item x="181"/>
        <item x="315"/>
        <item x="296"/>
        <item x="275"/>
        <item x="212"/>
        <item x="139"/>
        <item x="344"/>
        <item x="241"/>
        <item x="264"/>
        <item x="61"/>
        <item x="334"/>
        <item x="76"/>
        <item x="26"/>
        <item x="51"/>
        <item x="165"/>
        <item x="312"/>
        <item x="200"/>
        <item x="302"/>
        <item x="272"/>
        <item x="266"/>
        <item x="274"/>
        <item x="24"/>
        <item x="340"/>
        <item x="280"/>
        <item x="218"/>
        <item x="220"/>
        <item x="333"/>
        <item x="301"/>
        <item x="6"/>
        <item x="285"/>
        <item x="246"/>
        <item x="117"/>
        <item x="193"/>
        <item x="260"/>
        <item x="9"/>
        <item x="134"/>
        <item x="249"/>
        <item x="240"/>
        <item x="4"/>
        <item x="187"/>
        <item x="151"/>
        <item x="208"/>
        <item x="325"/>
        <item x="11"/>
        <item x="332"/>
        <item x="68"/>
        <item x="308"/>
        <item x="21"/>
        <item x="197"/>
        <item x="35"/>
        <item x="307"/>
        <item x="278"/>
        <item x="175"/>
        <item x="225"/>
        <item x="53"/>
        <item x="233"/>
        <item x="216"/>
        <item x="62"/>
        <item x="63"/>
        <item x="172"/>
        <item x="99"/>
        <item x="77"/>
        <item x="317"/>
        <item x="323"/>
        <item x="279"/>
        <item x="28"/>
        <item x="111"/>
        <item x="321"/>
        <item x="346"/>
        <item x="194"/>
        <item x="153"/>
        <item x="83"/>
        <item x="45"/>
        <item x="326"/>
        <item x="154"/>
        <item x="297"/>
        <item x="159"/>
        <item x="89"/>
        <item x="42"/>
        <item x="107"/>
        <item x="228"/>
        <item x="293"/>
        <item x="342"/>
        <item x="16"/>
        <item x="149"/>
        <item x="125"/>
        <item x="230"/>
        <item x="284"/>
        <item x="199"/>
        <item x="25"/>
        <item x="205"/>
        <item x="74"/>
        <item x="152"/>
        <item x="316"/>
        <item x="258"/>
        <item x="232"/>
        <item x="255"/>
        <item x="72"/>
        <item x="104"/>
        <item x="256"/>
        <item x="60"/>
        <item x="213"/>
        <item x="90"/>
        <item x="298"/>
        <item x="331"/>
        <item x="33"/>
        <item x="247"/>
        <item x="248"/>
        <item x="219"/>
        <item x="253"/>
        <item x="47"/>
        <item x="78"/>
        <item x="140"/>
        <item x="84"/>
        <item x="115"/>
        <item x="313"/>
        <item x="40"/>
        <item x="17"/>
        <item x="162"/>
        <item x="79"/>
        <item x="116"/>
        <item x="71"/>
        <item x="347"/>
        <item x="207"/>
        <item x="161"/>
        <item x="142"/>
        <item x="119"/>
        <item x="289"/>
        <item x="261"/>
        <item x="95"/>
        <item x="113"/>
        <item x="324"/>
        <item x="32"/>
        <item x="65"/>
        <item x="282"/>
        <item x="226"/>
        <item x="341"/>
        <item x="109"/>
        <item x="94"/>
        <item x="239"/>
        <item x="286"/>
        <item x="55"/>
        <item x="170"/>
        <item x="12"/>
        <item x="135"/>
        <item x="112"/>
        <item x="209"/>
        <item x="18"/>
        <item x="211"/>
        <item x="138"/>
        <item t="default"/>
      </items>
    </pivotField>
    <pivotField showAll="0"/>
    <pivotField axis="axisRow" showAll="0" measureFilter="1"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showAll="0"/>
    <pivotField showAll="0"/>
    <pivotField showAll="0"/>
    <pivotField dataField="1" showAll="0"/>
    <pivotField showAll="0">
      <items count="5">
        <item x="1"/>
        <item x="2"/>
        <item x="3"/>
        <item x="0"/>
        <item t="default"/>
      </items>
    </pivotField>
    <pivotField showAll="0">
      <items count="4">
        <item x="2"/>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v="1"/>
    </i>
    <i>
      <x/>
    </i>
    <i>
      <x v="3"/>
    </i>
    <i>
      <x v="2"/>
    </i>
    <i t="grand">
      <x/>
    </i>
  </rowItems>
  <colItems count="1">
    <i/>
  </colItems>
  <dataFields count="1">
    <dataField name="Sum of Total_Amount" fld="8"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C631BC-FDEA-46BB-9557-4C66649718B0}" name="Pivot_Region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A3:C8" firstHeaderRow="0" firstDataRow="1" firstDataCol="1"/>
  <pivotFields count="13">
    <pivotField showAll="0"/>
    <pivotField numFmtId="164" showAll="0">
      <items count="349">
        <item x="198"/>
        <item x="288"/>
        <item x="265"/>
        <item x="93"/>
        <item x="91"/>
        <item x="299"/>
        <item x="102"/>
        <item x="236"/>
        <item x="56"/>
        <item x="31"/>
        <item x="328"/>
        <item x="290"/>
        <item x="98"/>
        <item x="322"/>
        <item x="126"/>
        <item x="110"/>
        <item x="148"/>
        <item x="171"/>
        <item x="22"/>
        <item x="179"/>
        <item x="267"/>
        <item x="132"/>
        <item x="131"/>
        <item x="27"/>
        <item x="242"/>
        <item x="160"/>
        <item x="180"/>
        <item x="66"/>
        <item x="121"/>
        <item x="319"/>
        <item x="123"/>
        <item x="137"/>
        <item x="224"/>
        <item x="143"/>
        <item x="85"/>
        <item x="82"/>
        <item x="310"/>
        <item x="184"/>
        <item x="320"/>
        <item x="259"/>
        <item x="129"/>
        <item x="273"/>
        <item x="54"/>
        <item x="185"/>
        <item x="303"/>
        <item x="69"/>
        <item x="114"/>
        <item x="292"/>
        <item x="15"/>
        <item x="210"/>
        <item x="206"/>
        <item x="19"/>
        <item x="221"/>
        <item x="145"/>
        <item x="29"/>
        <item x="338"/>
        <item x="318"/>
        <item x="103"/>
        <item x="3"/>
        <item x="166"/>
        <item x="271"/>
        <item x="64"/>
        <item x="287"/>
        <item x="100"/>
        <item x="168"/>
        <item x="215"/>
        <item x="174"/>
        <item x="36"/>
        <item x="283"/>
        <item x="8"/>
        <item x="231"/>
        <item x="195"/>
        <item x="163"/>
        <item x="291"/>
        <item x="300"/>
        <item x="39"/>
        <item x="304"/>
        <item x="46"/>
        <item x="306"/>
        <item x="97"/>
        <item x="337"/>
        <item x="70"/>
        <item x="2"/>
        <item x="257"/>
        <item x="336"/>
        <item x="5"/>
        <item x="158"/>
        <item x="235"/>
        <item x="127"/>
        <item x="343"/>
        <item x="43"/>
        <item x="183"/>
        <item x="155"/>
        <item x="10"/>
        <item x="37"/>
        <item x="124"/>
        <item x="118"/>
        <item x="38"/>
        <item x="176"/>
        <item x="73"/>
        <item x="67"/>
        <item x="245"/>
        <item x="108"/>
        <item x="196"/>
        <item x="295"/>
        <item x="237"/>
        <item x="120"/>
        <item x="133"/>
        <item x="214"/>
        <item x="13"/>
        <item x="327"/>
        <item x="277"/>
        <item x="268"/>
        <item x="96"/>
        <item x="59"/>
        <item x="305"/>
        <item x="58"/>
        <item x="263"/>
        <item x="243"/>
        <item x="75"/>
        <item x="101"/>
        <item x="88"/>
        <item x="86"/>
        <item x="222"/>
        <item x="34"/>
        <item x="234"/>
        <item x="14"/>
        <item x="147"/>
        <item x="128"/>
        <item x="270"/>
        <item x="87"/>
        <item x="192"/>
        <item x="182"/>
        <item x="186"/>
        <item x="80"/>
        <item x="217"/>
        <item x="191"/>
        <item x="262"/>
        <item x="41"/>
        <item x="190"/>
        <item x="203"/>
        <item x="188"/>
        <item x="150"/>
        <item x="294"/>
        <item x="156"/>
        <item x="189"/>
        <item x="204"/>
        <item x="136"/>
        <item x="254"/>
        <item x="164"/>
        <item x="0"/>
        <item x="227"/>
        <item x="30"/>
        <item x="339"/>
        <item x="141"/>
        <item x="1"/>
        <item x="7"/>
        <item x="92"/>
        <item x="157"/>
        <item x="23"/>
        <item x="329"/>
        <item x="122"/>
        <item x="173"/>
        <item x="251"/>
        <item x="167"/>
        <item x="57"/>
        <item x="269"/>
        <item x="105"/>
        <item x="178"/>
        <item x="201"/>
        <item x="311"/>
        <item x="106"/>
        <item x="81"/>
        <item x="281"/>
        <item x="229"/>
        <item x="309"/>
        <item x="276"/>
        <item x="238"/>
        <item x="52"/>
        <item x="169"/>
        <item x="202"/>
        <item x="146"/>
        <item x="345"/>
        <item x="252"/>
        <item x="244"/>
        <item x="250"/>
        <item x="130"/>
        <item x="335"/>
        <item x="144"/>
        <item x="177"/>
        <item x="49"/>
        <item x="48"/>
        <item x="50"/>
        <item x="223"/>
        <item x="314"/>
        <item x="20"/>
        <item x="44"/>
        <item x="330"/>
        <item x="181"/>
        <item x="315"/>
        <item x="296"/>
        <item x="275"/>
        <item x="212"/>
        <item x="139"/>
        <item x="344"/>
        <item x="241"/>
        <item x="264"/>
        <item x="61"/>
        <item x="334"/>
        <item x="76"/>
        <item x="26"/>
        <item x="51"/>
        <item x="165"/>
        <item x="312"/>
        <item x="200"/>
        <item x="302"/>
        <item x="272"/>
        <item x="266"/>
        <item x="274"/>
        <item x="24"/>
        <item x="340"/>
        <item x="280"/>
        <item x="218"/>
        <item x="220"/>
        <item x="333"/>
        <item x="301"/>
        <item x="6"/>
        <item x="285"/>
        <item x="246"/>
        <item x="117"/>
        <item x="193"/>
        <item x="260"/>
        <item x="9"/>
        <item x="134"/>
        <item x="249"/>
        <item x="240"/>
        <item x="4"/>
        <item x="187"/>
        <item x="151"/>
        <item x="208"/>
        <item x="325"/>
        <item x="11"/>
        <item x="332"/>
        <item x="68"/>
        <item x="308"/>
        <item x="21"/>
        <item x="197"/>
        <item x="35"/>
        <item x="307"/>
        <item x="278"/>
        <item x="175"/>
        <item x="225"/>
        <item x="53"/>
        <item x="233"/>
        <item x="216"/>
        <item x="62"/>
        <item x="63"/>
        <item x="172"/>
        <item x="99"/>
        <item x="77"/>
        <item x="317"/>
        <item x="323"/>
        <item x="279"/>
        <item x="28"/>
        <item x="111"/>
        <item x="321"/>
        <item x="346"/>
        <item x="194"/>
        <item x="153"/>
        <item x="83"/>
        <item x="45"/>
        <item x="326"/>
        <item x="154"/>
        <item x="297"/>
        <item x="159"/>
        <item x="89"/>
        <item x="42"/>
        <item x="107"/>
        <item x="228"/>
        <item x="293"/>
        <item x="342"/>
        <item x="16"/>
        <item x="149"/>
        <item x="125"/>
        <item x="230"/>
        <item x="284"/>
        <item x="199"/>
        <item x="25"/>
        <item x="205"/>
        <item x="74"/>
        <item x="152"/>
        <item x="316"/>
        <item x="258"/>
        <item x="232"/>
        <item x="255"/>
        <item x="72"/>
        <item x="104"/>
        <item x="256"/>
        <item x="60"/>
        <item x="213"/>
        <item x="90"/>
        <item x="298"/>
        <item x="331"/>
        <item x="33"/>
        <item x="247"/>
        <item x="248"/>
        <item x="219"/>
        <item x="253"/>
        <item x="47"/>
        <item x="78"/>
        <item x="140"/>
        <item x="84"/>
        <item x="115"/>
        <item x="313"/>
        <item x="40"/>
        <item x="17"/>
        <item x="162"/>
        <item x="79"/>
        <item x="116"/>
        <item x="71"/>
        <item x="347"/>
        <item x="207"/>
        <item x="161"/>
        <item x="142"/>
        <item x="119"/>
        <item x="289"/>
        <item x="261"/>
        <item x="95"/>
        <item x="113"/>
        <item x="324"/>
        <item x="32"/>
        <item x="65"/>
        <item x="282"/>
        <item x="226"/>
        <item x="341"/>
        <item x="109"/>
        <item x="94"/>
        <item x="239"/>
        <item x="286"/>
        <item x="55"/>
        <item x="170"/>
        <item x="12"/>
        <item x="135"/>
        <item x="112"/>
        <item x="209"/>
        <item x="18"/>
        <item x="211"/>
        <item x="138"/>
        <item t="default"/>
      </items>
    </pivotField>
    <pivotField showAll="0"/>
    <pivotField showAll="0">
      <items count="5">
        <item x="2"/>
        <item x="1"/>
        <item x="0"/>
        <item x="3"/>
        <item t="default"/>
      </items>
    </pivotField>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dataField="1" showAll="0"/>
    <pivotField showAll="0">
      <items count="5">
        <item x="1"/>
        <item x="2"/>
        <item x="3"/>
        <item x="0"/>
        <item t="default"/>
      </items>
    </pivotField>
    <pivotField showAll="0">
      <items count="4">
        <item x="2"/>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3"/>
    </i>
    <i>
      <x v="1"/>
    </i>
    <i>
      <x v="2"/>
    </i>
    <i t="grand">
      <x/>
    </i>
  </rowItems>
  <colFields count="1">
    <field x="-2"/>
  </colFields>
  <colItems count="2">
    <i>
      <x/>
    </i>
    <i i="1">
      <x v="1"/>
    </i>
  </colItems>
  <dataFields count="2">
    <dataField name="Sum of Quantity" fld="6" baseField="0" baseItem="0"/>
    <dataField name="Sum of Total_Amount" fld="8" baseField="0" baseItem="0"/>
  </dataFields>
  <chartFormats count="4">
    <chartFormat chart="54" format="0" series="1">
      <pivotArea type="data" outline="0" fieldPosition="0">
        <references count="1">
          <reference field="4294967294" count="1" selected="0">
            <x v="0"/>
          </reference>
        </references>
      </pivotArea>
    </chartFormat>
    <chartFormat chart="54" format="1" series="1">
      <pivotArea type="data" outline="0" fieldPosition="0">
        <references count="1">
          <reference field="4294967294" count="1" selected="0">
            <x v="1"/>
          </reference>
        </references>
      </pivotArea>
    </chartFormat>
    <chartFormat chart="60" format="6" series="1">
      <pivotArea type="data" outline="0" fieldPosition="0">
        <references count="1">
          <reference field="4294967294" count="1" selected="0">
            <x v="0"/>
          </reference>
        </references>
      </pivotArea>
    </chartFormat>
    <chartFormat chart="6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24AED4-6FA0-4A1E-841D-F6587EC5E600}" name="Pivot_Region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9">
  <location ref="A3:B8" firstHeaderRow="1" firstDataRow="1" firstDataCol="1"/>
  <pivotFields count="13">
    <pivotField showAll="0"/>
    <pivotField numFmtId="164" showAll="0">
      <items count="349">
        <item x="198"/>
        <item x="288"/>
        <item x="265"/>
        <item x="93"/>
        <item x="91"/>
        <item x="299"/>
        <item x="102"/>
        <item x="236"/>
        <item x="56"/>
        <item x="31"/>
        <item x="328"/>
        <item x="290"/>
        <item x="98"/>
        <item x="322"/>
        <item x="126"/>
        <item x="110"/>
        <item x="148"/>
        <item x="171"/>
        <item x="22"/>
        <item x="179"/>
        <item x="267"/>
        <item x="132"/>
        <item x="131"/>
        <item x="27"/>
        <item x="242"/>
        <item x="160"/>
        <item x="180"/>
        <item x="66"/>
        <item x="121"/>
        <item x="319"/>
        <item x="123"/>
        <item x="137"/>
        <item x="224"/>
        <item x="143"/>
        <item x="85"/>
        <item x="82"/>
        <item x="310"/>
        <item x="184"/>
        <item x="320"/>
        <item x="259"/>
        <item x="129"/>
        <item x="273"/>
        <item x="54"/>
        <item x="185"/>
        <item x="303"/>
        <item x="69"/>
        <item x="114"/>
        <item x="292"/>
        <item x="15"/>
        <item x="210"/>
        <item x="206"/>
        <item x="19"/>
        <item x="221"/>
        <item x="145"/>
        <item x="29"/>
        <item x="338"/>
        <item x="318"/>
        <item x="103"/>
        <item x="3"/>
        <item x="166"/>
        <item x="271"/>
        <item x="64"/>
        <item x="287"/>
        <item x="100"/>
        <item x="168"/>
        <item x="215"/>
        <item x="174"/>
        <item x="36"/>
        <item x="283"/>
        <item x="8"/>
        <item x="231"/>
        <item x="195"/>
        <item x="163"/>
        <item x="291"/>
        <item x="300"/>
        <item x="39"/>
        <item x="304"/>
        <item x="46"/>
        <item x="306"/>
        <item x="97"/>
        <item x="337"/>
        <item x="70"/>
        <item x="2"/>
        <item x="257"/>
        <item x="336"/>
        <item x="5"/>
        <item x="158"/>
        <item x="235"/>
        <item x="127"/>
        <item x="343"/>
        <item x="43"/>
        <item x="183"/>
        <item x="155"/>
        <item x="10"/>
        <item x="37"/>
        <item x="124"/>
        <item x="118"/>
        <item x="38"/>
        <item x="176"/>
        <item x="73"/>
        <item x="67"/>
        <item x="245"/>
        <item x="108"/>
        <item x="196"/>
        <item x="295"/>
        <item x="237"/>
        <item x="120"/>
        <item x="133"/>
        <item x="214"/>
        <item x="13"/>
        <item x="327"/>
        <item x="277"/>
        <item x="268"/>
        <item x="96"/>
        <item x="59"/>
        <item x="305"/>
        <item x="58"/>
        <item x="263"/>
        <item x="243"/>
        <item x="75"/>
        <item x="101"/>
        <item x="88"/>
        <item x="86"/>
        <item x="222"/>
        <item x="34"/>
        <item x="234"/>
        <item x="14"/>
        <item x="147"/>
        <item x="128"/>
        <item x="270"/>
        <item x="87"/>
        <item x="192"/>
        <item x="182"/>
        <item x="186"/>
        <item x="80"/>
        <item x="217"/>
        <item x="191"/>
        <item x="262"/>
        <item x="41"/>
        <item x="190"/>
        <item x="203"/>
        <item x="188"/>
        <item x="150"/>
        <item x="294"/>
        <item x="156"/>
        <item x="189"/>
        <item x="204"/>
        <item x="136"/>
        <item x="254"/>
        <item x="164"/>
        <item x="0"/>
        <item x="227"/>
        <item x="30"/>
        <item x="339"/>
        <item x="141"/>
        <item x="1"/>
        <item x="7"/>
        <item x="92"/>
        <item x="157"/>
        <item x="23"/>
        <item x="329"/>
        <item x="122"/>
        <item x="173"/>
        <item x="251"/>
        <item x="167"/>
        <item x="57"/>
        <item x="269"/>
        <item x="105"/>
        <item x="178"/>
        <item x="201"/>
        <item x="311"/>
        <item x="106"/>
        <item x="81"/>
        <item x="281"/>
        <item x="229"/>
        <item x="309"/>
        <item x="276"/>
        <item x="238"/>
        <item x="52"/>
        <item x="169"/>
        <item x="202"/>
        <item x="146"/>
        <item x="345"/>
        <item x="252"/>
        <item x="244"/>
        <item x="250"/>
        <item x="130"/>
        <item x="335"/>
        <item x="144"/>
        <item x="177"/>
        <item x="49"/>
        <item x="48"/>
        <item x="50"/>
        <item x="223"/>
        <item x="314"/>
        <item x="20"/>
        <item x="44"/>
        <item x="330"/>
        <item x="181"/>
        <item x="315"/>
        <item x="296"/>
        <item x="275"/>
        <item x="212"/>
        <item x="139"/>
        <item x="344"/>
        <item x="241"/>
        <item x="264"/>
        <item x="61"/>
        <item x="334"/>
        <item x="76"/>
        <item x="26"/>
        <item x="51"/>
        <item x="165"/>
        <item x="312"/>
        <item x="200"/>
        <item x="302"/>
        <item x="272"/>
        <item x="266"/>
        <item x="274"/>
        <item x="24"/>
        <item x="340"/>
        <item x="280"/>
        <item x="218"/>
        <item x="220"/>
        <item x="333"/>
        <item x="301"/>
        <item x="6"/>
        <item x="285"/>
        <item x="246"/>
        <item x="117"/>
        <item x="193"/>
        <item x="260"/>
        <item x="9"/>
        <item x="134"/>
        <item x="249"/>
        <item x="240"/>
        <item x="4"/>
        <item x="187"/>
        <item x="151"/>
        <item x="208"/>
        <item x="325"/>
        <item x="11"/>
        <item x="332"/>
        <item x="68"/>
        <item x="308"/>
        <item x="21"/>
        <item x="197"/>
        <item x="35"/>
        <item x="307"/>
        <item x="278"/>
        <item x="175"/>
        <item x="225"/>
        <item x="53"/>
        <item x="233"/>
        <item x="216"/>
        <item x="62"/>
        <item x="63"/>
        <item x="172"/>
        <item x="99"/>
        <item x="77"/>
        <item x="317"/>
        <item x="323"/>
        <item x="279"/>
        <item x="28"/>
        <item x="111"/>
        <item x="321"/>
        <item x="346"/>
        <item x="194"/>
        <item x="153"/>
        <item x="83"/>
        <item x="45"/>
        <item x="326"/>
        <item x="154"/>
        <item x="297"/>
        <item x="159"/>
        <item x="89"/>
        <item x="42"/>
        <item x="107"/>
        <item x="228"/>
        <item x="293"/>
        <item x="342"/>
        <item x="16"/>
        <item x="149"/>
        <item x="125"/>
        <item x="230"/>
        <item x="284"/>
        <item x="199"/>
        <item x="25"/>
        <item x="205"/>
        <item x="74"/>
        <item x="152"/>
        <item x="316"/>
        <item x="258"/>
        <item x="232"/>
        <item x="255"/>
        <item x="72"/>
        <item x="104"/>
        <item x="256"/>
        <item x="60"/>
        <item x="213"/>
        <item x="90"/>
        <item x="298"/>
        <item x="331"/>
        <item x="33"/>
        <item x="247"/>
        <item x="248"/>
        <item x="219"/>
        <item x="253"/>
        <item x="47"/>
        <item x="78"/>
        <item x="140"/>
        <item x="84"/>
        <item x="115"/>
        <item x="313"/>
        <item x="40"/>
        <item x="17"/>
        <item x="162"/>
        <item x="79"/>
        <item x="116"/>
        <item x="71"/>
        <item x="347"/>
        <item x="207"/>
        <item x="161"/>
        <item x="142"/>
        <item x="119"/>
        <item x="289"/>
        <item x="261"/>
        <item x="95"/>
        <item x="113"/>
        <item x="324"/>
        <item x="32"/>
        <item x="65"/>
        <item x="282"/>
        <item x="226"/>
        <item x="341"/>
        <item x="109"/>
        <item x="94"/>
        <item x="239"/>
        <item x="286"/>
        <item x="55"/>
        <item x="170"/>
        <item x="12"/>
        <item x="135"/>
        <item x="112"/>
        <item x="209"/>
        <item x="18"/>
        <item x="211"/>
        <item x="138"/>
        <item t="default"/>
      </items>
    </pivotField>
    <pivotField showAll="0"/>
    <pivotField showAll="0">
      <items count="5">
        <item x="2"/>
        <item x="1"/>
        <item x="0"/>
        <item x="3"/>
        <item t="default"/>
      </items>
    </pivotField>
    <pivotField showAll="0">
      <items count="5">
        <item x="1"/>
        <item x="0"/>
        <item x="2"/>
        <item x="3"/>
        <item t="default"/>
      </items>
    </pivotField>
    <pivotField showAll="0"/>
    <pivotField showAll="0"/>
    <pivotField showAll="0"/>
    <pivotField dataField="1" showAll="0"/>
    <pivotField axis="axisRow" showAll="0">
      <items count="5">
        <item x="1"/>
        <item x="2"/>
        <item x="3"/>
        <item x="0"/>
        <item t="default"/>
      </items>
    </pivotField>
    <pivotField showAll="0">
      <items count="4">
        <item x="2"/>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Items count="1">
    <i/>
  </colItems>
  <dataFields count="1">
    <dataField name="Sum of Total_Amount" fld="8" baseField="0" baseItem="0"/>
  </dataFields>
  <chartFormats count="8">
    <chartFormat chart="44" format="2"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0"/>
          </reference>
        </references>
      </pivotArea>
    </chartFormat>
    <chartFormat chart="54" format="1" series="1">
      <pivotArea type="data" outline="0" fieldPosition="0">
        <references count="1">
          <reference field="4294967294" count="1" selected="0">
            <x v="0"/>
          </reference>
        </references>
      </pivotArea>
    </chartFormat>
    <chartFormat chart="83" format="0" series="1">
      <pivotArea type="data" outline="0" fieldPosition="0">
        <references count="1">
          <reference field="4294967294" count="1" selected="0">
            <x v="0"/>
          </reference>
        </references>
      </pivotArea>
    </chartFormat>
    <chartFormat chart="8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7C0305-0841-4B88-824F-260B98355832}" name="Pivot_Region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7">
  <location ref="A3:B7" firstHeaderRow="1" firstDataRow="1" firstDataCol="1"/>
  <pivotFields count="13">
    <pivotField showAll="0"/>
    <pivotField numFmtId="164" showAll="0">
      <items count="349">
        <item x="198"/>
        <item x="288"/>
        <item x="265"/>
        <item x="93"/>
        <item x="91"/>
        <item x="299"/>
        <item x="102"/>
        <item x="236"/>
        <item x="56"/>
        <item x="31"/>
        <item x="328"/>
        <item x="290"/>
        <item x="98"/>
        <item x="322"/>
        <item x="126"/>
        <item x="110"/>
        <item x="148"/>
        <item x="171"/>
        <item x="22"/>
        <item x="179"/>
        <item x="267"/>
        <item x="132"/>
        <item x="131"/>
        <item x="27"/>
        <item x="242"/>
        <item x="160"/>
        <item x="180"/>
        <item x="66"/>
        <item x="121"/>
        <item x="319"/>
        <item x="123"/>
        <item x="137"/>
        <item x="224"/>
        <item x="143"/>
        <item x="85"/>
        <item x="82"/>
        <item x="310"/>
        <item x="184"/>
        <item x="320"/>
        <item x="259"/>
        <item x="129"/>
        <item x="273"/>
        <item x="54"/>
        <item x="185"/>
        <item x="303"/>
        <item x="69"/>
        <item x="114"/>
        <item x="292"/>
        <item x="15"/>
        <item x="210"/>
        <item x="206"/>
        <item x="19"/>
        <item x="221"/>
        <item x="145"/>
        <item x="29"/>
        <item x="338"/>
        <item x="318"/>
        <item x="103"/>
        <item x="3"/>
        <item x="166"/>
        <item x="271"/>
        <item x="64"/>
        <item x="287"/>
        <item x="100"/>
        <item x="168"/>
        <item x="215"/>
        <item x="174"/>
        <item x="36"/>
        <item x="283"/>
        <item x="8"/>
        <item x="231"/>
        <item x="195"/>
        <item x="163"/>
        <item x="291"/>
        <item x="300"/>
        <item x="39"/>
        <item x="304"/>
        <item x="46"/>
        <item x="306"/>
        <item x="97"/>
        <item x="337"/>
        <item x="70"/>
        <item x="2"/>
        <item x="257"/>
        <item x="336"/>
        <item x="5"/>
        <item x="158"/>
        <item x="235"/>
        <item x="127"/>
        <item x="343"/>
        <item x="43"/>
        <item x="183"/>
        <item x="155"/>
        <item x="10"/>
        <item x="37"/>
        <item x="124"/>
        <item x="118"/>
        <item x="38"/>
        <item x="176"/>
        <item x="73"/>
        <item x="67"/>
        <item x="245"/>
        <item x="108"/>
        <item x="196"/>
        <item x="295"/>
        <item x="237"/>
        <item x="120"/>
        <item x="133"/>
        <item x="214"/>
        <item x="13"/>
        <item x="327"/>
        <item x="277"/>
        <item x="268"/>
        <item x="96"/>
        <item x="59"/>
        <item x="305"/>
        <item x="58"/>
        <item x="263"/>
        <item x="243"/>
        <item x="75"/>
        <item x="101"/>
        <item x="88"/>
        <item x="86"/>
        <item x="222"/>
        <item x="34"/>
        <item x="234"/>
        <item x="14"/>
        <item x="147"/>
        <item x="128"/>
        <item x="270"/>
        <item x="87"/>
        <item x="192"/>
        <item x="182"/>
        <item x="186"/>
        <item x="80"/>
        <item x="217"/>
        <item x="191"/>
        <item x="262"/>
        <item x="41"/>
        <item x="190"/>
        <item x="203"/>
        <item x="188"/>
        <item x="150"/>
        <item x="294"/>
        <item x="156"/>
        <item x="189"/>
        <item x="204"/>
        <item x="136"/>
        <item x="254"/>
        <item x="164"/>
        <item x="0"/>
        <item x="227"/>
        <item x="30"/>
        <item x="339"/>
        <item x="141"/>
        <item x="1"/>
        <item x="7"/>
        <item x="92"/>
        <item x="157"/>
        <item x="23"/>
        <item x="329"/>
        <item x="122"/>
        <item x="173"/>
        <item x="251"/>
        <item x="167"/>
        <item x="57"/>
        <item x="269"/>
        <item x="105"/>
        <item x="178"/>
        <item x="201"/>
        <item x="311"/>
        <item x="106"/>
        <item x="81"/>
        <item x="281"/>
        <item x="229"/>
        <item x="309"/>
        <item x="276"/>
        <item x="238"/>
        <item x="52"/>
        <item x="169"/>
        <item x="202"/>
        <item x="146"/>
        <item x="345"/>
        <item x="252"/>
        <item x="244"/>
        <item x="250"/>
        <item x="130"/>
        <item x="335"/>
        <item x="144"/>
        <item x="177"/>
        <item x="49"/>
        <item x="48"/>
        <item x="50"/>
        <item x="223"/>
        <item x="314"/>
        <item x="20"/>
        <item x="44"/>
        <item x="330"/>
        <item x="181"/>
        <item x="315"/>
        <item x="296"/>
        <item x="275"/>
        <item x="212"/>
        <item x="139"/>
        <item x="344"/>
        <item x="241"/>
        <item x="264"/>
        <item x="61"/>
        <item x="334"/>
        <item x="76"/>
        <item x="26"/>
        <item x="51"/>
        <item x="165"/>
        <item x="312"/>
        <item x="200"/>
        <item x="302"/>
        <item x="272"/>
        <item x="266"/>
        <item x="274"/>
        <item x="24"/>
        <item x="340"/>
        <item x="280"/>
        <item x="218"/>
        <item x="220"/>
        <item x="333"/>
        <item x="301"/>
        <item x="6"/>
        <item x="285"/>
        <item x="246"/>
        <item x="117"/>
        <item x="193"/>
        <item x="260"/>
        <item x="9"/>
        <item x="134"/>
        <item x="249"/>
        <item x="240"/>
        <item x="4"/>
        <item x="187"/>
        <item x="151"/>
        <item x="208"/>
        <item x="325"/>
        <item x="11"/>
        <item x="332"/>
        <item x="68"/>
        <item x="308"/>
        <item x="21"/>
        <item x="197"/>
        <item x="35"/>
        <item x="307"/>
        <item x="278"/>
        <item x="175"/>
        <item x="225"/>
        <item x="53"/>
        <item x="233"/>
        <item x="216"/>
        <item x="62"/>
        <item x="63"/>
        <item x="172"/>
        <item x="99"/>
        <item x="77"/>
        <item x="317"/>
        <item x="323"/>
        <item x="279"/>
        <item x="28"/>
        <item x="111"/>
        <item x="321"/>
        <item x="346"/>
        <item x="194"/>
        <item x="153"/>
        <item x="83"/>
        <item x="45"/>
        <item x="326"/>
        <item x="154"/>
        <item x="297"/>
        <item x="159"/>
        <item x="89"/>
        <item x="42"/>
        <item x="107"/>
        <item x="228"/>
        <item x="293"/>
        <item x="342"/>
        <item x="16"/>
        <item x="149"/>
        <item x="125"/>
        <item x="230"/>
        <item x="284"/>
        <item x="199"/>
        <item x="25"/>
        <item x="205"/>
        <item x="74"/>
        <item x="152"/>
        <item x="316"/>
        <item x="258"/>
        <item x="232"/>
        <item x="255"/>
        <item x="72"/>
        <item x="104"/>
        <item x="256"/>
        <item x="60"/>
        <item x="213"/>
        <item x="90"/>
        <item x="298"/>
        <item x="331"/>
        <item x="33"/>
        <item x="247"/>
        <item x="248"/>
        <item x="219"/>
        <item x="253"/>
        <item x="47"/>
        <item x="78"/>
        <item x="140"/>
        <item x="84"/>
        <item x="115"/>
        <item x="313"/>
        <item x="40"/>
        <item x="17"/>
        <item x="162"/>
        <item x="79"/>
        <item x="116"/>
        <item x="71"/>
        <item x="347"/>
        <item x="207"/>
        <item x="161"/>
        <item x="142"/>
        <item x="119"/>
        <item x="289"/>
        <item x="261"/>
        <item x="95"/>
        <item x="113"/>
        <item x="324"/>
        <item x="32"/>
        <item x="65"/>
        <item x="282"/>
        <item x="226"/>
        <item x="341"/>
        <item x="109"/>
        <item x="94"/>
        <item x="239"/>
        <item x="286"/>
        <item x="55"/>
        <item x="170"/>
        <item x="12"/>
        <item x="135"/>
        <item x="112"/>
        <item x="209"/>
        <item x="18"/>
        <item x="211"/>
        <item x="138"/>
        <item t="default"/>
      </items>
    </pivotField>
    <pivotField showAll="0"/>
    <pivotField showAll="0">
      <items count="5">
        <item x="2"/>
        <item x="1"/>
        <item x="0"/>
        <item x="3"/>
        <item t="default"/>
      </items>
    </pivotField>
    <pivotField showAll="0">
      <items count="5">
        <item x="1"/>
        <item x="0"/>
        <item x="2"/>
        <item x="3"/>
        <item t="default"/>
      </items>
    </pivotField>
    <pivotField showAll="0"/>
    <pivotField showAll="0"/>
    <pivotField showAll="0"/>
    <pivotField dataField="1" showAll="0"/>
    <pivotField showAll="0">
      <items count="5">
        <item x="1"/>
        <item x="2"/>
        <item x="3"/>
        <item x="0"/>
        <item t="default"/>
      </items>
    </pivotField>
    <pivotField axis="axisRow" showAll="0">
      <items count="4">
        <item x="2"/>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4">
    <i>
      <x/>
    </i>
    <i>
      <x v="1"/>
    </i>
    <i>
      <x v="2"/>
    </i>
    <i t="grand">
      <x/>
    </i>
  </rowItems>
  <colItems count="1">
    <i/>
  </colItems>
  <dataFields count="1">
    <dataField name="Sum of Total_Amount" fld="8" baseField="0" baseItem="0"/>
  </dataFields>
  <chartFormats count="17">
    <chartFormat chart="44" format="2"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0"/>
          </reference>
        </references>
      </pivotArea>
    </chartFormat>
    <chartFormat chart="54" format="1" series="1">
      <pivotArea type="data" outline="0" fieldPosition="0">
        <references count="1">
          <reference field="4294967294" count="1" selected="0">
            <x v="0"/>
          </reference>
        </references>
      </pivotArea>
    </chartFormat>
    <chartFormat chart="57" format="3"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3" format="0" series="1">
      <pivotArea type="data" outline="0" fieldPosition="0">
        <references count="1">
          <reference field="4294967294" count="1" selected="0">
            <x v="0"/>
          </reference>
        </references>
      </pivotArea>
    </chartFormat>
    <chartFormat chart="90" format="0" series="1">
      <pivotArea type="data" outline="0" fieldPosition="0">
        <references count="1">
          <reference field="4294967294" count="1" selected="0">
            <x v="0"/>
          </reference>
        </references>
      </pivotArea>
    </chartFormat>
    <chartFormat chart="94" format="5" series="1">
      <pivotArea type="data" outline="0" fieldPosition="0">
        <references count="1">
          <reference field="4294967294" count="1" selected="0">
            <x v="0"/>
          </reference>
        </references>
      </pivotArea>
    </chartFormat>
    <chartFormat chart="94" format="6">
      <pivotArea type="data" outline="0" fieldPosition="0">
        <references count="2">
          <reference field="4294967294" count="1" selected="0">
            <x v="0"/>
          </reference>
          <reference field="10" count="1" selected="0">
            <x v="0"/>
          </reference>
        </references>
      </pivotArea>
    </chartFormat>
    <chartFormat chart="94" format="7">
      <pivotArea type="data" outline="0" fieldPosition="0">
        <references count="2">
          <reference field="4294967294" count="1" selected="0">
            <x v="0"/>
          </reference>
          <reference field="10" count="1" selected="0">
            <x v="1"/>
          </reference>
        </references>
      </pivotArea>
    </chartFormat>
    <chartFormat chart="94" format="8">
      <pivotArea type="data" outline="0" fieldPosition="0">
        <references count="2">
          <reference field="4294967294" count="1" selected="0">
            <x v="0"/>
          </reference>
          <reference field="10" count="1" selected="0">
            <x v="2"/>
          </reference>
        </references>
      </pivotArea>
    </chartFormat>
    <chartFormat chart="90" format="1">
      <pivotArea type="data" outline="0" fieldPosition="0">
        <references count="2">
          <reference field="4294967294" count="1" selected="0">
            <x v="0"/>
          </reference>
          <reference field="10" count="1" selected="0">
            <x v="0"/>
          </reference>
        </references>
      </pivotArea>
    </chartFormat>
    <chartFormat chart="90" format="2">
      <pivotArea type="data" outline="0" fieldPosition="0">
        <references count="2">
          <reference field="4294967294" count="1" selected="0">
            <x v="0"/>
          </reference>
          <reference field="10" count="1" selected="0">
            <x v="1"/>
          </reference>
        </references>
      </pivotArea>
    </chartFormat>
    <chartFormat chart="9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2020D9-A2B8-4F41-8F60-B4626B9F82A7}" sourceName="Region">
  <pivotTables>
    <pivotTable tabId="3" name="Pivot_Region_Sales"/>
    <pivotTable tabId="4" name="Pivot_Region_Sales"/>
    <pivotTable tabId="6" name="Pivot_Region_Sales"/>
    <pivotTable tabId="5" name="Pivot_Region_Sales"/>
  </pivotTables>
  <data>
    <tabular pivotCacheId="1773627535">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1D8ADD9-1532-484A-9BED-458B0C573B87}" sourceName="Product_Category">
  <pivotTables>
    <pivotTable tabId="3" name="Pivot_Region_Sales"/>
    <pivotTable tabId="4" name="Pivot_Region_Sales"/>
    <pivotTable tabId="6" name="Pivot_Region_Sales"/>
    <pivotTable tabId="5" name="Pivot_Region_Sales"/>
  </pivotTables>
  <data>
    <tabular pivotCacheId="1773627535">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3E3B362C-8CF8-4919-A350-EFA4A4326226}" sourceName="Sales_Person">
  <pivotTables>
    <pivotTable tabId="3" name="Pivot_Region_Sales"/>
    <pivotTable tabId="4" name="Pivot_Region_Sales"/>
    <pivotTable tabId="6" name="Pivot_Region_Sales"/>
    <pivotTable tabId="5" name="Pivot_Region_Sales"/>
  </pivotTables>
  <data>
    <tabular pivotCacheId="1773627535">
      <items count="4">
        <i x="1" s="1"/>
        <i x="2"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0C4630FC-81E4-4F9A-A8D1-A73BC0E8E18E}" sourceName="Payment_Status">
  <pivotTables>
    <pivotTable tabId="3" name="Pivot_Region_Sales"/>
    <pivotTable tabId="4" name="Pivot_Region_Sales"/>
    <pivotTable tabId="6" name="Pivot_Region_Sales"/>
    <pivotTable tabId="5" name="Pivot_Region_Sales"/>
  </pivotTables>
  <data>
    <tabular pivotCacheId="177362753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4FB2871-5763-4A30-B394-37C6E1A7BA8E}" cache="Slicer_Region" caption="Region" rowHeight="241300"/>
  <slicer name="Product_Category" xr10:uid="{13E83F93-053C-4C25-B50B-79A9D9C830B3}" cache="Slicer_Product_Category" caption="Product_Category" rowHeight="241300"/>
  <slicer name="Sales_Person" xr10:uid="{DA2154F3-F53A-4DF8-BA44-9403D1524EEC}" cache="Slicer_Sales_Person" caption="Sales_Person" rowHeight="241300"/>
  <slicer name="Payment_Status" xr10:uid="{01E00B2F-1B47-4325-BF31-4F784FA2C57E}" cache="Slicer_Payment_Status" caption="Payment_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33338F-A6F5-46C0-A971-14BBF3A0F166}" name="Data" displayName="Data" ref="A1:K1001" totalsRowShown="0">
  <autoFilter ref="A1:K1001" xr:uid="{8133338F-A6F5-46C0-A971-14BBF3A0F166}"/>
  <tableColumns count="11">
    <tableColumn id="1" xr3:uid="{866C4F6E-0953-4BA7-9DBF-CF45E6ADDE1E}" name="Invoice_ID"/>
    <tableColumn id="2" xr3:uid="{4E4485FB-5264-43DE-A455-7AF2BFCDEBA8}" name="Invoice_Date" dataDxfId="0"/>
    <tableColumn id="3" xr3:uid="{892832BD-FE61-48F1-A68D-757129935E54}" name="Customer_Name"/>
    <tableColumn id="4" xr3:uid="{00AB4351-00D6-47B5-9D9D-C0923EB3B14F}" name="Region"/>
    <tableColumn id="5" xr3:uid="{96035582-B626-4F09-8537-31836BDEC87E}" name="Product_Category"/>
    <tableColumn id="6" xr3:uid="{A9EA5310-7DD3-4960-95A5-481354FB3DA7}" name="Product_Name"/>
    <tableColumn id="7" xr3:uid="{FA1747E1-218E-438D-B0C5-5B589944DB23}" name="Quantity"/>
    <tableColumn id="8" xr3:uid="{3BE7B7D7-59AF-4CBD-BB1D-3146D7E25468}" name="Unit_Price"/>
    <tableColumn id="9" xr3:uid="{6B7A33D2-E608-473D-844E-06FB410253DB}" name="Total_Amount"/>
    <tableColumn id="10" xr3:uid="{B0A8CB49-2926-4920-B08A-61138A3F16DA}" name="Sales_Person"/>
    <tableColumn id="11" xr3:uid="{A738BF62-B820-4560-B89F-EA85062C8241}" name="Payment_Status"/>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1"/>
  <sheetViews>
    <sheetView topLeftCell="A982" workbookViewId="0">
      <selection activeCell="B8" sqref="B8"/>
    </sheetView>
  </sheetViews>
  <sheetFormatPr defaultRowHeight="14.5" x14ac:dyDescent="0.35"/>
  <cols>
    <col min="1" max="1" width="11.54296875" customWidth="1"/>
    <col min="2" max="2" width="16.7265625" customWidth="1"/>
    <col min="3" max="3" width="16.81640625" customWidth="1"/>
    <col min="4" max="4" width="8.453125" customWidth="1"/>
    <col min="5" max="5" width="17.6328125" customWidth="1"/>
    <col min="6" max="6" width="15.1796875" customWidth="1"/>
    <col min="7" max="7" width="10" customWidth="1"/>
    <col min="8" max="8" width="11.26953125" customWidth="1"/>
    <col min="9" max="9" width="14.7265625" customWidth="1"/>
    <col min="10" max="10" width="13.7265625" customWidth="1"/>
    <col min="11" max="11" width="16.1796875" customWidth="1"/>
    <col min="12" max="12" width="8.26953125" customWidth="1"/>
  </cols>
  <sheetData>
    <row r="1" spans="1:11" x14ac:dyDescent="0.35">
      <c r="A1" t="s">
        <v>0</v>
      </c>
      <c r="B1" t="s">
        <v>1</v>
      </c>
      <c r="C1" t="s">
        <v>2</v>
      </c>
      <c r="D1" t="s">
        <v>3</v>
      </c>
      <c r="E1" t="s">
        <v>4</v>
      </c>
      <c r="F1" t="s">
        <v>5</v>
      </c>
      <c r="G1" t="s">
        <v>6</v>
      </c>
      <c r="H1" t="s">
        <v>7</v>
      </c>
      <c r="I1" t="s">
        <v>8</v>
      </c>
      <c r="J1" t="s">
        <v>9</v>
      </c>
      <c r="K1" t="s">
        <v>10</v>
      </c>
    </row>
    <row r="2" spans="1:11" x14ac:dyDescent="0.35">
      <c r="A2" t="s">
        <v>11</v>
      </c>
      <c r="B2" s="1">
        <v>45450</v>
      </c>
      <c r="C2" t="s">
        <v>12</v>
      </c>
      <c r="D2" t="s">
        <v>13</v>
      </c>
      <c r="E2" t="s">
        <v>14</v>
      </c>
      <c r="F2" t="s">
        <v>15</v>
      </c>
      <c r="G2">
        <v>9</v>
      </c>
      <c r="H2">
        <v>44157</v>
      </c>
      <c r="I2">
        <v>397413</v>
      </c>
      <c r="J2" t="s">
        <v>16</v>
      </c>
      <c r="K2" t="s">
        <v>17</v>
      </c>
    </row>
    <row r="3" spans="1:11" x14ac:dyDescent="0.35">
      <c r="A3" t="s">
        <v>18</v>
      </c>
      <c r="B3" s="1">
        <v>45455</v>
      </c>
      <c r="C3" t="s">
        <v>12</v>
      </c>
      <c r="D3" t="s">
        <v>19</v>
      </c>
      <c r="E3" t="s">
        <v>14</v>
      </c>
      <c r="F3" t="s">
        <v>20</v>
      </c>
      <c r="G3">
        <v>5</v>
      </c>
      <c r="H3">
        <v>26750</v>
      </c>
      <c r="I3">
        <v>133750</v>
      </c>
      <c r="J3" t="s">
        <v>21</v>
      </c>
      <c r="K3" t="s">
        <v>22</v>
      </c>
    </row>
    <row r="4" spans="1:11" x14ac:dyDescent="0.35">
      <c r="A4" t="s">
        <v>23</v>
      </c>
      <c r="B4" s="1">
        <v>45378</v>
      </c>
      <c r="C4" t="s">
        <v>24</v>
      </c>
      <c r="D4" t="s">
        <v>19</v>
      </c>
      <c r="E4" t="s">
        <v>25</v>
      </c>
      <c r="F4" t="s">
        <v>26</v>
      </c>
      <c r="G4">
        <v>17</v>
      </c>
      <c r="H4">
        <v>29750</v>
      </c>
      <c r="I4">
        <v>505750</v>
      </c>
      <c r="J4" t="s">
        <v>27</v>
      </c>
      <c r="K4" t="s">
        <v>22</v>
      </c>
    </row>
    <row r="5" spans="1:11" x14ac:dyDescent="0.35">
      <c r="A5" t="s">
        <v>28</v>
      </c>
      <c r="B5" s="1">
        <v>45352</v>
      </c>
      <c r="C5" t="s">
        <v>29</v>
      </c>
      <c r="D5" t="s">
        <v>19</v>
      </c>
      <c r="E5" t="s">
        <v>30</v>
      </c>
      <c r="F5" t="s">
        <v>31</v>
      </c>
      <c r="G5">
        <v>15</v>
      </c>
      <c r="H5">
        <v>24934</v>
      </c>
      <c r="I5">
        <v>374010</v>
      </c>
      <c r="J5" t="s">
        <v>32</v>
      </c>
      <c r="K5" t="s">
        <v>33</v>
      </c>
    </row>
    <row r="6" spans="1:11" x14ac:dyDescent="0.35">
      <c r="A6" t="s">
        <v>34</v>
      </c>
      <c r="B6" s="1">
        <v>45543</v>
      </c>
      <c r="C6" t="s">
        <v>24</v>
      </c>
      <c r="D6" t="s">
        <v>35</v>
      </c>
      <c r="E6" t="s">
        <v>14</v>
      </c>
      <c r="F6" t="s">
        <v>20</v>
      </c>
      <c r="G6">
        <v>4</v>
      </c>
      <c r="H6">
        <v>21632</v>
      </c>
      <c r="I6">
        <v>86528</v>
      </c>
      <c r="J6" t="s">
        <v>16</v>
      </c>
      <c r="K6" t="s">
        <v>17</v>
      </c>
    </row>
    <row r="7" spans="1:11" x14ac:dyDescent="0.35">
      <c r="A7" t="s">
        <v>36</v>
      </c>
      <c r="B7" s="1">
        <v>45381</v>
      </c>
      <c r="C7" t="s">
        <v>37</v>
      </c>
      <c r="D7" t="s">
        <v>38</v>
      </c>
      <c r="E7" t="s">
        <v>39</v>
      </c>
      <c r="F7" t="s">
        <v>40</v>
      </c>
      <c r="G7">
        <v>4</v>
      </c>
      <c r="H7">
        <v>27832</v>
      </c>
      <c r="I7">
        <v>111328</v>
      </c>
      <c r="J7" t="s">
        <v>27</v>
      </c>
      <c r="K7" t="s">
        <v>17</v>
      </c>
    </row>
    <row r="8" spans="1:11" x14ac:dyDescent="0.35">
      <c r="A8" t="s">
        <v>41</v>
      </c>
      <c r="B8" s="1">
        <v>45455</v>
      </c>
      <c r="C8" t="s">
        <v>12</v>
      </c>
      <c r="D8" t="s">
        <v>19</v>
      </c>
      <c r="E8" t="s">
        <v>39</v>
      </c>
      <c r="F8" t="s">
        <v>40</v>
      </c>
      <c r="G8">
        <v>13</v>
      </c>
      <c r="H8">
        <v>31160</v>
      </c>
      <c r="I8">
        <v>405080</v>
      </c>
      <c r="J8" t="s">
        <v>32</v>
      </c>
      <c r="K8" t="s">
        <v>22</v>
      </c>
    </row>
    <row r="9" spans="1:11" x14ac:dyDescent="0.35">
      <c r="A9" t="s">
        <v>42</v>
      </c>
      <c r="B9" s="1">
        <v>45531</v>
      </c>
      <c r="C9" t="s">
        <v>43</v>
      </c>
      <c r="D9" t="s">
        <v>38</v>
      </c>
      <c r="E9" t="s">
        <v>30</v>
      </c>
      <c r="F9" t="s">
        <v>44</v>
      </c>
      <c r="G9">
        <v>7</v>
      </c>
      <c r="H9">
        <v>2020</v>
      </c>
      <c r="I9">
        <v>14140</v>
      </c>
      <c r="J9" t="s">
        <v>16</v>
      </c>
      <c r="K9" t="s">
        <v>17</v>
      </c>
    </row>
    <row r="10" spans="1:11" x14ac:dyDescent="0.35">
      <c r="A10" t="s">
        <v>45</v>
      </c>
      <c r="B10" s="1">
        <v>45456</v>
      </c>
      <c r="C10" t="s">
        <v>43</v>
      </c>
      <c r="D10" t="s">
        <v>38</v>
      </c>
      <c r="E10" t="s">
        <v>30</v>
      </c>
      <c r="F10" t="s">
        <v>31</v>
      </c>
      <c r="G10">
        <v>8</v>
      </c>
      <c r="H10">
        <v>39361</v>
      </c>
      <c r="I10">
        <v>314888</v>
      </c>
      <c r="J10" t="s">
        <v>16</v>
      </c>
      <c r="K10" t="s">
        <v>33</v>
      </c>
    </row>
    <row r="11" spans="1:11" x14ac:dyDescent="0.35">
      <c r="A11" t="s">
        <v>46</v>
      </c>
      <c r="B11" s="1">
        <v>45364</v>
      </c>
      <c r="C11" t="s">
        <v>24</v>
      </c>
      <c r="D11" t="s">
        <v>13</v>
      </c>
      <c r="E11" t="s">
        <v>30</v>
      </c>
      <c r="F11" t="s">
        <v>44</v>
      </c>
      <c r="G11">
        <v>3</v>
      </c>
      <c r="H11">
        <v>42054</v>
      </c>
      <c r="I11">
        <v>126162</v>
      </c>
      <c r="J11" t="s">
        <v>21</v>
      </c>
      <c r="K11" t="s">
        <v>22</v>
      </c>
    </row>
    <row r="12" spans="1:11" x14ac:dyDescent="0.35">
      <c r="A12" t="s">
        <v>47</v>
      </c>
      <c r="B12" s="1">
        <v>45539</v>
      </c>
      <c r="C12" t="s">
        <v>37</v>
      </c>
      <c r="D12" t="s">
        <v>38</v>
      </c>
      <c r="E12" t="s">
        <v>25</v>
      </c>
      <c r="F12" t="s">
        <v>48</v>
      </c>
      <c r="G12">
        <v>12</v>
      </c>
      <c r="H12">
        <v>46167</v>
      </c>
      <c r="I12">
        <v>554004</v>
      </c>
      <c r="J12" t="s">
        <v>27</v>
      </c>
      <c r="K12" t="s">
        <v>22</v>
      </c>
    </row>
    <row r="13" spans="1:11" x14ac:dyDescent="0.35">
      <c r="A13" t="s">
        <v>49</v>
      </c>
      <c r="B13" s="1">
        <v>45392</v>
      </c>
      <c r="C13" t="s">
        <v>24</v>
      </c>
      <c r="D13" t="s">
        <v>19</v>
      </c>
      <c r="E13" t="s">
        <v>30</v>
      </c>
      <c r="F13" t="s">
        <v>31</v>
      </c>
      <c r="G13">
        <v>17</v>
      </c>
      <c r="H13">
        <v>39396</v>
      </c>
      <c r="I13">
        <v>669732</v>
      </c>
      <c r="J13" t="s">
        <v>21</v>
      </c>
      <c r="K13" t="s">
        <v>17</v>
      </c>
    </row>
    <row r="14" spans="1:11" x14ac:dyDescent="0.35">
      <c r="A14" t="s">
        <v>50</v>
      </c>
      <c r="B14" s="1">
        <v>45548</v>
      </c>
      <c r="C14" t="s">
        <v>29</v>
      </c>
      <c r="D14" t="s">
        <v>13</v>
      </c>
      <c r="E14" t="s">
        <v>25</v>
      </c>
      <c r="F14" t="s">
        <v>48</v>
      </c>
      <c r="G14">
        <v>4</v>
      </c>
      <c r="H14">
        <v>20475</v>
      </c>
      <c r="I14">
        <v>81900</v>
      </c>
      <c r="J14" t="s">
        <v>16</v>
      </c>
      <c r="K14" t="s">
        <v>33</v>
      </c>
    </row>
    <row r="15" spans="1:11" x14ac:dyDescent="0.35">
      <c r="A15" t="s">
        <v>51</v>
      </c>
      <c r="B15" s="1">
        <v>45651</v>
      </c>
      <c r="C15" t="s">
        <v>37</v>
      </c>
      <c r="D15" t="s">
        <v>13</v>
      </c>
      <c r="E15" t="s">
        <v>25</v>
      </c>
      <c r="F15" t="s">
        <v>26</v>
      </c>
      <c r="G15">
        <v>17</v>
      </c>
      <c r="H15">
        <v>1493</v>
      </c>
      <c r="I15">
        <v>25381</v>
      </c>
      <c r="J15" t="s">
        <v>16</v>
      </c>
      <c r="K15" t="s">
        <v>22</v>
      </c>
    </row>
    <row r="16" spans="1:11" x14ac:dyDescent="0.35">
      <c r="A16" t="s">
        <v>52</v>
      </c>
      <c r="B16" s="1">
        <v>45378</v>
      </c>
      <c r="C16" t="s">
        <v>12</v>
      </c>
      <c r="D16" t="s">
        <v>13</v>
      </c>
      <c r="E16" t="s">
        <v>14</v>
      </c>
      <c r="F16" t="s">
        <v>15</v>
      </c>
      <c r="G16">
        <v>4</v>
      </c>
      <c r="H16">
        <v>49316</v>
      </c>
      <c r="I16">
        <v>197264</v>
      </c>
      <c r="J16" t="s">
        <v>27</v>
      </c>
      <c r="K16" t="s">
        <v>22</v>
      </c>
    </row>
    <row r="17" spans="1:11" x14ac:dyDescent="0.35">
      <c r="A17" t="s">
        <v>53</v>
      </c>
      <c r="B17" s="1">
        <v>45409</v>
      </c>
      <c r="C17" t="s">
        <v>12</v>
      </c>
      <c r="D17" t="s">
        <v>19</v>
      </c>
      <c r="E17" t="s">
        <v>30</v>
      </c>
      <c r="F17" t="s">
        <v>31</v>
      </c>
      <c r="G17">
        <v>17</v>
      </c>
      <c r="H17">
        <v>28375</v>
      </c>
      <c r="I17">
        <v>482375</v>
      </c>
      <c r="J17" t="s">
        <v>27</v>
      </c>
      <c r="K17" t="s">
        <v>33</v>
      </c>
    </row>
    <row r="18" spans="1:11" x14ac:dyDescent="0.35">
      <c r="A18" t="s">
        <v>54</v>
      </c>
      <c r="B18" s="1">
        <v>45426</v>
      </c>
      <c r="C18" t="s">
        <v>12</v>
      </c>
      <c r="D18" t="s">
        <v>19</v>
      </c>
      <c r="E18" t="s">
        <v>39</v>
      </c>
      <c r="F18" t="s">
        <v>55</v>
      </c>
      <c r="G18">
        <v>2</v>
      </c>
      <c r="H18">
        <v>23376</v>
      </c>
      <c r="I18">
        <v>46752</v>
      </c>
      <c r="J18" t="s">
        <v>16</v>
      </c>
      <c r="K18" t="s">
        <v>22</v>
      </c>
    </row>
    <row r="19" spans="1:11" x14ac:dyDescent="0.35">
      <c r="A19" t="s">
        <v>56</v>
      </c>
      <c r="B19" s="1">
        <v>45341</v>
      </c>
      <c r="C19" t="s">
        <v>29</v>
      </c>
      <c r="D19" t="s">
        <v>38</v>
      </c>
      <c r="E19" t="s">
        <v>39</v>
      </c>
      <c r="F19" t="s">
        <v>40</v>
      </c>
      <c r="G19">
        <v>18</v>
      </c>
      <c r="H19">
        <v>40114</v>
      </c>
      <c r="I19">
        <v>722052</v>
      </c>
      <c r="J19" t="s">
        <v>16</v>
      </c>
      <c r="K19" t="s">
        <v>17</v>
      </c>
    </row>
    <row r="20" spans="1:11" x14ac:dyDescent="0.35">
      <c r="A20" t="s">
        <v>57</v>
      </c>
      <c r="B20" s="1">
        <v>45588</v>
      </c>
      <c r="C20" t="s">
        <v>29</v>
      </c>
      <c r="D20" t="s">
        <v>13</v>
      </c>
      <c r="E20" t="s">
        <v>25</v>
      </c>
      <c r="F20" t="s">
        <v>58</v>
      </c>
      <c r="G20">
        <v>4</v>
      </c>
      <c r="H20">
        <v>18824</v>
      </c>
      <c r="I20">
        <v>75296</v>
      </c>
      <c r="J20" t="s">
        <v>27</v>
      </c>
      <c r="K20" t="s">
        <v>33</v>
      </c>
    </row>
    <row r="21" spans="1:11" x14ac:dyDescent="0.35">
      <c r="A21" t="s">
        <v>59</v>
      </c>
      <c r="B21" s="1">
        <v>45625</v>
      </c>
      <c r="C21" t="s">
        <v>12</v>
      </c>
      <c r="D21" t="s">
        <v>19</v>
      </c>
      <c r="E21" t="s">
        <v>14</v>
      </c>
      <c r="F21" t="s">
        <v>15</v>
      </c>
      <c r="G21">
        <v>10</v>
      </c>
      <c r="H21">
        <v>29026</v>
      </c>
      <c r="I21">
        <v>290260</v>
      </c>
      <c r="J21" t="s">
        <v>21</v>
      </c>
      <c r="K21" t="s">
        <v>33</v>
      </c>
    </row>
    <row r="22" spans="1:11" x14ac:dyDescent="0.35">
      <c r="A22" t="s">
        <v>60</v>
      </c>
      <c r="B22" s="1">
        <v>45655</v>
      </c>
      <c r="C22" t="s">
        <v>43</v>
      </c>
      <c r="D22" t="s">
        <v>19</v>
      </c>
      <c r="E22" t="s">
        <v>39</v>
      </c>
      <c r="F22" t="s">
        <v>55</v>
      </c>
      <c r="G22">
        <v>9</v>
      </c>
      <c r="H22">
        <v>42256</v>
      </c>
      <c r="I22">
        <v>380304</v>
      </c>
      <c r="J22" t="s">
        <v>32</v>
      </c>
      <c r="K22" t="s">
        <v>33</v>
      </c>
    </row>
    <row r="23" spans="1:11" x14ac:dyDescent="0.35">
      <c r="A23" t="s">
        <v>61</v>
      </c>
      <c r="B23" s="1">
        <v>45344</v>
      </c>
      <c r="C23" t="s">
        <v>43</v>
      </c>
      <c r="D23" t="s">
        <v>38</v>
      </c>
      <c r="E23" t="s">
        <v>14</v>
      </c>
      <c r="F23" t="s">
        <v>62</v>
      </c>
      <c r="G23">
        <v>16</v>
      </c>
      <c r="H23">
        <v>14900</v>
      </c>
      <c r="I23">
        <v>238400</v>
      </c>
      <c r="J23" t="s">
        <v>32</v>
      </c>
      <c r="K23" t="s">
        <v>22</v>
      </c>
    </row>
    <row r="24" spans="1:11" x14ac:dyDescent="0.35">
      <c r="A24" t="s">
        <v>63</v>
      </c>
      <c r="B24" s="1">
        <v>45500</v>
      </c>
      <c r="C24" t="s">
        <v>43</v>
      </c>
      <c r="D24" t="s">
        <v>35</v>
      </c>
      <c r="E24" t="s">
        <v>14</v>
      </c>
      <c r="F24" t="s">
        <v>62</v>
      </c>
      <c r="G24">
        <v>20</v>
      </c>
      <c r="H24">
        <v>17617</v>
      </c>
      <c r="I24">
        <v>352340</v>
      </c>
      <c r="J24" t="s">
        <v>27</v>
      </c>
      <c r="K24" t="s">
        <v>22</v>
      </c>
    </row>
    <row r="25" spans="1:11" x14ac:dyDescent="0.35">
      <c r="A25" t="s">
        <v>64</v>
      </c>
      <c r="B25" s="1">
        <v>45552</v>
      </c>
      <c r="C25" t="s">
        <v>29</v>
      </c>
      <c r="D25" t="s">
        <v>38</v>
      </c>
      <c r="E25" t="s">
        <v>39</v>
      </c>
      <c r="F25" t="s">
        <v>65</v>
      </c>
      <c r="G25">
        <v>8</v>
      </c>
      <c r="H25">
        <v>38795</v>
      </c>
      <c r="I25">
        <v>310360</v>
      </c>
      <c r="J25" t="s">
        <v>16</v>
      </c>
      <c r="K25" t="s">
        <v>17</v>
      </c>
    </row>
    <row r="26" spans="1:11" x14ac:dyDescent="0.35">
      <c r="A26" t="s">
        <v>66</v>
      </c>
      <c r="B26" s="1">
        <v>45311</v>
      </c>
      <c r="C26" t="s">
        <v>43</v>
      </c>
      <c r="D26" t="s">
        <v>38</v>
      </c>
      <c r="E26" t="s">
        <v>14</v>
      </c>
      <c r="F26" t="s">
        <v>15</v>
      </c>
      <c r="G26">
        <v>6</v>
      </c>
      <c r="H26">
        <v>32339</v>
      </c>
      <c r="I26">
        <v>194034</v>
      </c>
      <c r="J26" t="s">
        <v>27</v>
      </c>
      <c r="K26" t="s">
        <v>33</v>
      </c>
    </row>
    <row r="27" spans="1:11" x14ac:dyDescent="0.35">
      <c r="A27" t="s">
        <v>67</v>
      </c>
      <c r="B27" s="1">
        <v>45459</v>
      </c>
      <c r="C27" t="s">
        <v>12</v>
      </c>
      <c r="D27" t="s">
        <v>38</v>
      </c>
      <c r="E27" t="s">
        <v>25</v>
      </c>
      <c r="F27" t="s">
        <v>58</v>
      </c>
      <c r="G27">
        <v>3</v>
      </c>
      <c r="H27">
        <v>26874</v>
      </c>
      <c r="I27">
        <v>80622</v>
      </c>
      <c r="J27" t="s">
        <v>16</v>
      </c>
      <c r="K27" t="s">
        <v>33</v>
      </c>
    </row>
    <row r="28" spans="1:11" x14ac:dyDescent="0.35">
      <c r="A28" t="s">
        <v>68</v>
      </c>
      <c r="B28" s="1">
        <v>45524</v>
      </c>
      <c r="C28" t="s">
        <v>37</v>
      </c>
      <c r="D28" t="s">
        <v>19</v>
      </c>
      <c r="E28" t="s">
        <v>30</v>
      </c>
      <c r="F28" t="s">
        <v>44</v>
      </c>
      <c r="G28">
        <v>2</v>
      </c>
      <c r="H28">
        <v>36577</v>
      </c>
      <c r="I28">
        <v>73154</v>
      </c>
      <c r="J28" t="s">
        <v>32</v>
      </c>
      <c r="K28" t="s">
        <v>22</v>
      </c>
    </row>
    <row r="29" spans="1:11" x14ac:dyDescent="0.35">
      <c r="A29" t="s">
        <v>69</v>
      </c>
      <c r="B29" s="1">
        <v>45595</v>
      </c>
      <c r="C29" t="s">
        <v>29</v>
      </c>
      <c r="D29" t="s">
        <v>13</v>
      </c>
      <c r="E29" t="s">
        <v>39</v>
      </c>
      <c r="F29" t="s">
        <v>55</v>
      </c>
      <c r="G29">
        <v>19</v>
      </c>
      <c r="H29">
        <v>33566</v>
      </c>
      <c r="I29">
        <v>637754</v>
      </c>
      <c r="J29" t="s">
        <v>21</v>
      </c>
      <c r="K29" t="s">
        <v>33</v>
      </c>
    </row>
    <row r="30" spans="1:11" x14ac:dyDescent="0.35">
      <c r="A30" t="s">
        <v>70</v>
      </c>
      <c r="B30" s="1">
        <v>45515</v>
      </c>
      <c r="C30" t="s">
        <v>29</v>
      </c>
      <c r="D30" t="s">
        <v>38</v>
      </c>
      <c r="E30" t="s">
        <v>39</v>
      </c>
      <c r="F30" t="s">
        <v>65</v>
      </c>
      <c r="G30">
        <v>3</v>
      </c>
      <c r="H30">
        <v>26410</v>
      </c>
      <c r="I30">
        <v>79230</v>
      </c>
      <c r="J30" t="s">
        <v>21</v>
      </c>
      <c r="K30" t="s">
        <v>22</v>
      </c>
    </row>
    <row r="31" spans="1:11" x14ac:dyDescent="0.35">
      <c r="A31" t="s">
        <v>71</v>
      </c>
      <c r="B31" s="1">
        <v>45316</v>
      </c>
      <c r="C31" t="s">
        <v>43</v>
      </c>
      <c r="D31" t="s">
        <v>19</v>
      </c>
      <c r="E31" t="s">
        <v>30</v>
      </c>
      <c r="F31" t="s">
        <v>44</v>
      </c>
      <c r="G31">
        <v>15</v>
      </c>
      <c r="H31">
        <v>7980</v>
      </c>
      <c r="I31">
        <v>119700</v>
      </c>
      <c r="J31" t="s">
        <v>32</v>
      </c>
      <c r="K31" t="s">
        <v>33</v>
      </c>
    </row>
    <row r="32" spans="1:11" x14ac:dyDescent="0.35">
      <c r="A32" t="s">
        <v>72</v>
      </c>
      <c r="B32" s="1">
        <v>45570</v>
      </c>
      <c r="C32" t="s">
        <v>12</v>
      </c>
      <c r="D32" t="s">
        <v>38</v>
      </c>
      <c r="E32" t="s">
        <v>25</v>
      </c>
      <c r="F32" t="s">
        <v>58</v>
      </c>
      <c r="G32">
        <v>11</v>
      </c>
      <c r="H32">
        <v>33395</v>
      </c>
      <c r="I32">
        <v>367345</v>
      </c>
      <c r="J32" t="s">
        <v>21</v>
      </c>
      <c r="K32" t="s">
        <v>22</v>
      </c>
    </row>
    <row r="33" spans="1:11" x14ac:dyDescent="0.35">
      <c r="A33" t="s">
        <v>73</v>
      </c>
      <c r="B33" s="1">
        <v>45348</v>
      </c>
      <c r="C33" t="s">
        <v>29</v>
      </c>
      <c r="D33" t="s">
        <v>13</v>
      </c>
      <c r="E33" t="s">
        <v>25</v>
      </c>
      <c r="F33" t="s">
        <v>48</v>
      </c>
      <c r="G33">
        <v>17</v>
      </c>
      <c r="H33">
        <v>16714</v>
      </c>
      <c r="I33">
        <v>284138</v>
      </c>
      <c r="J33" t="s">
        <v>32</v>
      </c>
      <c r="K33" t="s">
        <v>22</v>
      </c>
    </row>
    <row r="34" spans="1:11" x14ac:dyDescent="0.35">
      <c r="A34" t="s">
        <v>74</v>
      </c>
      <c r="B34" s="1">
        <v>45452</v>
      </c>
      <c r="C34" t="s">
        <v>43</v>
      </c>
      <c r="D34" t="s">
        <v>19</v>
      </c>
      <c r="E34" t="s">
        <v>30</v>
      </c>
      <c r="F34" t="s">
        <v>31</v>
      </c>
      <c r="G34">
        <v>20</v>
      </c>
      <c r="H34">
        <v>2132</v>
      </c>
      <c r="I34">
        <v>42640</v>
      </c>
      <c r="J34" t="s">
        <v>16</v>
      </c>
      <c r="K34" t="s">
        <v>22</v>
      </c>
    </row>
    <row r="35" spans="1:11" x14ac:dyDescent="0.35">
      <c r="A35" t="s">
        <v>75</v>
      </c>
      <c r="B35" s="1">
        <v>45301</v>
      </c>
      <c r="C35" t="s">
        <v>12</v>
      </c>
      <c r="D35" t="s">
        <v>35</v>
      </c>
      <c r="E35" t="s">
        <v>14</v>
      </c>
      <c r="F35" t="s">
        <v>62</v>
      </c>
      <c r="G35">
        <v>12</v>
      </c>
      <c r="H35">
        <v>40207</v>
      </c>
      <c r="I35">
        <v>482484</v>
      </c>
      <c r="J35" t="s">
        <v>21</v>
      </c>
      <c r="K35" t="s">
        <v>22</v>
      </c>
    </row>
    <row r="36" spans="1:11" x14ac:dyDescent="0.35">
      <c r="A36" t="s">
        <v>76</v>
      </c>
      <c r="B36" s="1">
        <v>45640</v>
      </c>
      <c r="C36" t="s">
        <v>43</v>
      </c>
      <c r="D36" t="s">
        <v>13</v>
      </c>
      <c r="E36" t="s">
        <v>14</v>
      </c>
      <c r="F36" t="s">
        <v>62</v>
      </c>
      <c r="G36">
        <v>14</v>
      </c>
      <c r="H36">
        <v>12628</v>
      </c>
      <c r="I36">
        <v>176792</v>
      </c>
      <c r="J36" t="s">
        <v>21</v>
      </c>
      <c r="K36" t="s">
        <v>33</v>
      </c>
    </row>
    <row r="37" spans="1:11" x14ac:dyDescent="0.35">
      <c r="A37" t="s">
        <v>77</v>
      </c>
      <c r="B37" s="1">
        <v>45611</v>
      </c>
      <c r="C37" t="s">
        <v>29</v>
      </c>
      <c r="D37" t="s">
        <v>19</v>
      </c>
      <c r="E37" t="s">
        <v>14</v>
      </c>
      <c r="F37" t="s">
        <v>20</v>
      </c>
      <c r="G37">
        <v>20</v>
      </c>
      <c r="H37">
        <v>25095</v>
      </c>
      <c r="I37">
        <v>501900</v>
      </c>
      <c r="J37" t="s">
        <v>27</v>
      </c>
      <c r="K37" t="s">
        <v>17</v>
      </c>
    </row>
    <row r="38" spans="1:11" x14ac:dyDescent="0.35">
      <c r="A38" t="s">
        <v>78</v>
      </c>
      <c r="B38" s="1">
        <v>45424</v>
      </c>
      <c r="C38" t="s">
        <v>24</v>
      </c>
      <c r="D38" t="s">
        <v>19</v>
      </c>
      <c r="E38" t="s">
        <v>14</v>
      </c>
      <c r="F38" t="s">
        <v>15</v>
      </c>
      <c r="G38">
        <v>15</v>
      </c>
      <c r="H38">
        <v>43511</v>
      </c>
      <c r="I38">
        <v>652665</v>
      </c>
      <c r="J38" t="s">
        <v>21</v>
      </c>
      <c r="K38" t="s">
        <v>22</v>
      </c>
    </row>
    <row r="39" spans="1:11" x14ac:dyDescent="0.35">
      <c r="A39" t="s">
        <v>79</v>
      </c>
      <c r="B39" s="1">
        <v>45554</v>
      </c>
      <c r="C39" t="s">
        <v>24</v>
      </c>
      <c r="D39" t="s">
        <v>13</v>
      </c>
      <c r="E39" t="s">
        <v>25</v>
      </c>
      <c r="F39" t="s">
        <v>26</v>
      </c>
      <c r="G39">
        <v>3</v>
      </c>
      <c r="H39">
        <v>40933</v>
      </c>
      <c r="I39">
        <v>122799</v>
      </c>
      <c r="J39" t="s">
        <v>21</v>
      </c>
      <c r="K39" t="s">
        <v>22</v>
      </c>
    </row>
    <row r="40" spans="1:11" x14ac:dyDescent="0.35">
      <c r="A40" t="s">
        <v>80</v>
      </c>
      <c r="B40" s="1">
        <v>45362</v>
      </c>
      <c r="C40" t="s">
        <v>43</v>
      </c>
      <c r="D40" t="s">
        <v>38</v>
      </c>
      <c r="E40" t="s">
        <v>30</v>
      </c>
      <c r="F40" t="s">
        <v>81</v>
      </c>
      <c r="G40">
        <v>10</v>
      </c>
      <c r="H40">
        <v>11511</v>
      </c>
      <c r="I40">
        <v>115110</v>
      </c>
      <c r="J40" t="s">
        <v>16</v>
      </c>
      <c r="K40" t="s">
        <v>22</v>
      </c>
    </row>
    <row r="41" spans="1:11" x14ac:dyDescent="0.35">
      <c r="A41" t="s">
        <v>82</v>
      </c>
      <c r="B41" s="1">
        <v>45393</v>
      </c>
      <c r="C41" t="s">
        <v>12</v>
      </c>
      <c r="D41" t="s">
        <v>13</v>
      </c>
      <c r="E41" t="s">
        <v>25</v>
      </c>
      <c r="F41" t="s">
        <v>48</v>
      </c>
      <c r="G41">
        <v>4</v>
      </c>
      <c r="H41">
        <v>17873</v>
      </c>
      <c r="I41">
        <v>71492</v>
      </c>
      <c r="J41" t="s">
        <v>32</v>
      </c>
      <c r="K41" t="s">
        <v>17</v>
      </c>
    </row>
    <row r="42" spans="1:11" x14ac:dyDescent="0.35">
      <c r="A42" t="s">
        <v>83</v>
      </c>
      <c r="B42" s="1">
        <v>45396</v>
      </c>
      <c r="C42" t="s">
        <v>12</v>
      </c>
      <c r="D42" t="s">
        <v>13</v>
      </c>
      <c r="E42" t="s">
        <v>25</v>
      </c>
      <c r="F42" t="s">
        <v>58</v>
      </c>
      <c r="G42">
        <v>19</v>
      </c>
      <c r="H42">
        <v>3944</v>
      </c>
      <c r="I42">
        <v>74936</v>
      </c>
      <c r="J42" t="s">
        <v>27</v>
      </c>
      <c r="K42" t="s">
        <v>33</v>
      </c>
    </row>
    <row r="43" spans="1:11" x14ac:dyDescent="0.35">
      <c r="A43" t="s">
        <v>84</v>
      </c>
      <c r="B43" s="1">
        <v>45371</v>
      </c>
      <c r="C43" t="s">
        <v>43</v>
      </c>
      <c r="D43" t="s">
        <v>38</v>
      </c>
      <c r="E43" t="s">
        <v>25</v>
      </c>
      <c r="F43" t="s">
        <v>48</v>
      </c>
      <c r="G43">
        <v>11</v>
      </c>
      <c r="H43">
        <v>24298</v>
      </c>
      <c r="I43">
        <v>267278</v>
      </c>
      <c r="J43" t="s">
        <v>32</v>
      </c>
      <c r="K43" t="s">
        <v>33</v>
      </c>
    </row>
    <row r="44" spans="1:11" x14ac:dyDescent="0.35">
      <c r="A44" t="s">
        <v>85</v>
      </c>
      <c r="B44" s="1">
        <v>45552</v>
      </c>
      <c r="C44" t="s">
        <v>12</v>
      </c>
      <c r="D44" t="s">
        <v>35</v>
      </c>
      <c r="E44" t="s">
        <v>30</v>
      </c>
      <c r="F44" t="s">
        <v>31</v>
      </c>
      <c r="G44">
        <v>19</v>
      </c>
      <c r="H44">
        <v>31286</v>
      </c>
      <c r="I44">
        <v>594434</v>
      </c>
      <c r="J44" t="s">
        <v>32</v>
      </c>
      <c r="K44" t="s">
        <v>33</v>
      </c>
    </row>
    <row r="45" spans="1:11" x14ac:dyDescent="0.35">
      <c r="A45" t="s">
        <v>86</v>
      </c>
      <c r="B45" s="1">
        <v>45624</v>
      </c>
      <c r="C45" t="s">
        <v>37</v>
      </c>
      <c r="D45" t="s">
        <v>35</v>
      </c>
      <c r="E45" t="s">
        <v>39</v>
      </c>
      <c r="F45" t="s">
        <v>55</v>
      </c>
      <c r="G45">
        <v>4</v>
      </c>
      <c r="H45">
        <v>8277</v>
      </c>
      <c r="I45">
        <v>33108</v>
      </c>
      <c r="J45" t="s">
        <v>16</v>
      </c>
      <c r="K45" t="s">
        <v>22</v>
      </c>
    </row>
    <row r="46" spans="1:11" x14ac:dyDescent="0.35">
      <c r="A46" t="s">
        <v>87</v>
      </c>
      <c r="B46" s="1">
        <v>45438</v>
      </c>
      <c r="C46" t="s">
        <v>29</v>
      </c>
      <c r="D46" t="s">
        <v>13</v>
      </c>
      <c r="E46" t="s">
        <v>30</v>
      </c>
      <c r="F46" t="s">
        <v>31</v>
      </c>
      <c r="G46">
        <v>9</v>
      </c>
      <c r="H46">
        <v>7030</v>
      </c>
      <c r="I46">
        <v>63270</v>
      </c>
      <c r="J46" t="s">
        <v>27</v>
      </c>
      <c r="K46" t="s">
        <v>22</v>
      </c>
    </row>
    <row r="47" spans="1:11" x14ac:dyDescent="0.35">
      <c r="A47" t="s">
        <v>88</v>
      </c>
      <c r="B47" s="1">
        <v>45583</v>
      </c>
      <c r="C47" t="s">
        <v>29</v>
      </c>
      <c r="D47" t="s">
        <v>35</v>
      </c>
      <c r="E47" t="s">
        <v>25</v>
      </c>
      <c r="F47" t="s">
        <v>48</v>
      </c>
      <c r="G47">
        <v>14</v>
      </c>
      <c r="H47">
        <v>48515</v>
      </c>
      <c r="I47">
        <v>679210</v>
      </c>
      <c r="J47" t="s">
        <v>27</v>
      </c>
      <c r="K47" t="s">
        <v>22</v>
      </c>
    </row>
    <row r="48" spans="1:11" x14ac:dyDescent="0.35">
      <c r="A48" t="s">
        <v>89</v>
      </c>
      <c r="B48" s="1">
        <v>45389</v>
      </c>
      <c r="C48" t="s">
        <v>43</v>
      </c>
      <c r="D48" t="s">
        <v>35</v>
      </c>
      <c r="E48" t="s">
        <v>14</v>
      </c>
      <c r="F48" t="s">
        <v>62</v>
      </c>
      <c r="G48">
        <v>2</v>
      </c>
      <c r="H48">
        <v>29006</v>
      </c>
      <c r="I48">
        <v>58012</v>
      </c>
      <c r="J48" t="s">
        <v>32</v>
      </c>
      <c r="K48" t="s">
        <v>22</v>
      </c>
    </row>
    <row r="49" spans="1:11" x14ac:dyDescent="0.35">
      <c r="A49" t="s">
        <v>90</v>
      </c>
      <c r="B49" s="1">
        <v>45501</v>
      </c>
      <c r="C49" t="s">
        <v>24</v>
      </c>
      <c r="D49" t="s">
        <v>38</v>
      </c>
      <c r="E49" t="s">
        <v>25</v>
      </c>
      <c r="F49" t="s">
        <v>26</v>
      </c>
      <c r="G49">
        <v>20</v>
      </c>
      <c r="H49">
        <v>42055</v>
      </c>
      <c r="I49">
        <v>841100</v>
      </c>
      <c r="J49" t="s">
        <v>32</v>
      </c>
      <c r="K49" t="s">
        <v>22</v>
      </c>
    </row>
    <row r="50" spans="1:11" x14ac:dyDescent="0.35">
      <c r="A50" t="s">
        <v>91</v>
      </c>
      <c r="B50" s="1">
        <v>45577</v>
      </c>
      <c r="C50" t="s">
        <v>37</v>
      </c>
      <c r="D50" t="s">
        <v>35</v>
      </c>
      <c r="E50" t="s">
        <v>30</v>
      </c>
      <c r="F50" t="s">
        <v>81</v>
      </c>
      <c r="G50">
        <v>3</v>
      </c>
      <c r="H50">
        <v>38196</v>
      </c>
      <c r="I50">
        <v>114588</v>
      </c>
      <c r="J50" t="s">
        <v>32</v>
      </c>
      <c r="K50" t="s">
        <v>33</v>
      </c>
    </row>
    <row r="51" spans="1:11" x14ac:dyDescent="0.35">
      <c r="A51" t="s">
        <v>92</v>
      </c>
      <c r="B51" s="1">
        <v>45373</v>
      </c>
      <c r="C51" t="s">
        <v>37</v>
      </c>
      <c r="D51" t="s">
        <v>13</v>
      </c>
      <c r="E51" t="s">
        <v>25</v>
      </c>
      <c r="F51" t="s">
        <v>58</v>
      </c>
      <c r="G51">
        <v>5</v>
      </c>
      <c r="H51">
        <v>38176</v>
      </c>
      <c r="I51">
        <v>190880</v>
      </c>
      <c r="J51" t="s">
        <v>27</v>
      </c>
      <c r="K51" t="s">
        <v>33</v>
      </c>
    </row>
    <row r="52" spans="1:11" x14ac:dyDescent="0.35">
      <c r="A52" t="s">
        <v>93</v>
      </c>
      <c r="B52" s="1">
        <v>45617</v>
      </c>
      <c r="C52" t="s">
        <v>29</v>
      </c>
      <c r="D52" t="s">
        <v>19</v>
      </c>
      <c r="E52" t="s">
        <v>14</v>
      </c>
      <c r="F52" t="s">
        <v>15</v>
      </c>
      <c r="G52">
        <v>12</v>
      </c>
      <c r="H52">
        <v>17750</v>
      </c>
      <c r="I52">
        <v>213000</v>
      </c>
      <c r="J52" t="s">
        <v>16</v>
      </c>
      <c r="K52" t="s">
        <v>17</v>
      </c>
    </row>
    <row r="53" spans="1:11" x14ac:dyDescent="0.35">
      <c r="A53" t="s">
        <v>94</v>
      </c>
      <c r="B53" s="1">
        <v>45496</v>
      </c>
      <c r="C53" t="s">
        <v>43</v>
      </c>
      <c r="D53" t="s">
        <v>19</v>
      </c>
      <c r="E53" t="s">
        <v>30</v>
      </c>
      <c r="F53" t="s">
        <v>31</v>
      </c>
      <c r="G53">
        <v>19</v>
      </c>
      <c r="H53">
        <v>10145</v>
      </c>
      <c r="I53">
        <v>192755</v>
      </c>
      <c r="J53" t="s">
        <v>27</v>
      </c>
      <c r="K53" t="s">
        <v>33</v>
      </c>
    </row>
    <row r="54" spans="1:11" x14ac:dyDescent="0.35">
      <c r="A54" t="s">
        <v>95</v>
      </c>
      <c r="B54" s="1">
        <v>45426</v>
      </c>
      <c r="C54" t="s">
        <v>37</v>
      </c>
      <c r="D54" t="s">
        <v>38</v>
      </c>
      <c r="E54" t="s">
        <v>39</v>
      </c>
      <c r="F54" t="s">
        <v>55</v>
      </c>
      <c r="G54">
        <v>7</v>
      </c>
      <c r="H54">
        <v>14292</v>
      </c>
      <c r="I54">
        <v>100044</v>
      </c>
      <c r="J54" t="s">
        <v>21</v>
      </c>
      <c r="K54" t="s">
        <v>33</v>
      </c>
    </row>
    <row r="55" spans="1:11" x14ac:dyDescent="0.35">
      <c r="A55" t="s">
        <v>96</v>
      </c>
      <c r="B55" s="1">
        <v>45495</v>
      </c>
      <c r="C55" t="s">
        <v>37</v>
      </c>
      <c r="D55" t="s">
        <v>13</v>
      </c>
      <c r="E55" t="s">
        <v>39</v>
      </c>
      <c r="F55" t="s">
        <v>55</v>
      </c>
      <c r="G55">
        <v>20</v>
      </c>
      <c r="H55">
        <v>3229</v>
      </c>
      <c r="I55">
        <v>64580</v>
      </c>
      <c r="J55" t="s">
        <v>27</v>
      </c>
      <c r="K55" t="s">
        <v>33</v>
      </c>
    </row>
    <row r="56" spans="1:11" x14ac:dyDescent="0.35">
      <c r="A56" t="s">
        <v>97</v>
      </c>
      <c r="B56" s="1">
        <v>45497</v>
      </c>
      <c r="C56" t="s">
        <v>29</v>
      </c>
      <c r="D56" t="s">
        <v>19</v>
      </c>
      <c r="E56" t="s">
        <v>25</v>
      </c>
      <c r="F56" t="s">
        <v>58</v>
      </c>
      <c r="G56">
        <v>7</v>
      </c>
      <c r="H56">
        <v>11586</v>
      </c>
      <c r="I56">
        <v>81102</v>
      </c>
      <c r="J56" t="s">
        <v>21</v>
      </c>
      <c r="K56" t="s">
        <v>17</v>
      </c>
    </row>
    <row r="57" spans="1:11" x14ac:dyDescent="0.35">
      <c r="A57" t="s">
        <v>98</v>
      </c>
      <c r="B57" s="1">
        <v>45577</v>
      </c>
      <c r="C57" t="s">
        <v>12</v>
      </c>
      <c r="D57" t="s">
        <v>19</v>
      </c>
      <c r="E57" t="s">
        <v>39</v>
      </c>
      <c r="F57" t="s">
        <v>55</v>
      </c>
      <c r="G57">
        <v>18</v>
      </c>
      <c r="H57">
        <v>20916</v>
      </c>
      <c r="I57">
        <v>376488</v>
      </c>
      <c r="J57" t="s">
        <v>16</v>
      </c>
      <c r="K57" t="s">
        <v>33</v>
      </c>
    </row>
    <row r="58" spans="1:11" x14ac:dyDescent="0.35">
      <c r="A58" t="s">
        <v>99</v>
      </c>
      <c r="B58" s="1">
        <v>45516</v>
      </c>
      <c r="C58" t="s">
        <v>24</v>
      </c>
      <c r="D58" t="s">
        <v>13</v>
      </c>
      <c r="E58" t="s">
        <v>30</v>
      </c>
      <c r="F58" t="s">
        <v>31</v>
      </c>
      <c r="G58">
        <v>13</v>
      </c>
      <c r="H58">
        <v>46897</v>
      </c>
      <c r="I58">
        <v>609661</v>
      </c>
      <c r="J58" t="s">
        <v>32</v>
      </c>
      <c r="K58" t="s">
        <v>22</v>
      </c>
    </row>
    <row r="59" spans="1:11" x14ac:dyDescent="0.35">
      <c r="A59" t="s">
        <v>100</v>
      </c>
      <c r="B59" s="1">
        <v>45481</v>
      </c>
      <c r="C59" t="s">
        <v>12</v>
      </c>
      <c r="D59" t="s">
        <v>38</v>
      </c>
      <c r="E59" t="s">
        <v>14</v>
      </c>
      <c r="F59" t="s">
        <v>20</v>
      </c>
      <c r="G59">
        <v>18</v>
      </c>
      <c r="H59">
        <v>44872</v>
      </c>
      <c r="I59">
        <v>807696</v>
      </c>
      <c r="J59" t="s">
        <v>27</v>
      </c>
      <c r="K59" t="s">
        <v>22</v>
      </c>
    </row>
    <row r="60" spans="1:11" x14ac:dyDescent="0.35">
      <c r="A60" t="s">
        <v>101</v>
      </c>
      <c r="B60" s="1">
        <v>45316</v>
      </c>
      <c r="C60" t="s">
        <v>12</v>
      </c>
      <c r="D60" t="s">
        <v>19</v>
      </c>
      <c r="E60" t="s">
        <v>30</v>
      </c>
      <c r="F60" t="s">
        <v>31</v>
      </c>
      <c r="G60">
        <v>20</v>
      </c>
      <c r="H60">
        <v>30021</v>
      </c>
      <c r="I60">
        <v>600420</v>
      </c>
      <c r="J60" t="s">
        <v>27</v>
      </c>
      <c r="K60" t="s">
        <v>33</v>
      </c>
    </row>
    <row r="61" spans="1:11" x14ac:dyDescent="0.35">
      <c r="A61" t="s">
        <v>102</v>
      </c>
      <c r="B61" s="1">
        <v>45559</v>
      </c>
      <c r="C61" t="s">
        <v>37</v>
      </c>
      <c r="D61" t="s">
        <v>19</v>
      </c>
      <c r="E61" t="s">
        <v>30</v>
      </c>
      <c r="F61" t="s">
        <v>44</v>
      </c>
      <c r="G61">
        <v>13</v>
      </c>
      <c r="H61">
        <v>39006</v>
      </c>
      <c r="I61">
        <v>507078</v>
      </c>
      <c r="J61" t="s">
        <v>27</v>
      </c>
      <c r="K61" t="s">
        <v>33</v>
      </c>
    </row>
    <row r="62" spans="1:11" x14ac:dyDescent="0.35">
      <c r="A62" t="s">
        <v>103</v>
      </c>
      <c r="B62" s="1">
        <v>45335</v>
      </c>
      <c r="C62" t="s">
        <v>43</v>
      </c>
      <c r="D62" t="s">
        <v>13</v>
      </c>
      <c r="E62" t="s">
        <v>30</v>
      </c>
      <c r="F62" t="s">
        <v>81</v>
      </c>
      <c r="G62">
        <v>15</v>
      </c>
      <c r="H62">
        <v>22470</v>
      </c>
      <c r="I62">
        <v>337050</v>
      </c>
      <c r="J62" t="s">
        <v>21</v>
      </c>
      <c r="K62" t="s">
        <v>33</v>
      </c>
    </row>
    <row r="63" spans="1:11" x14ac:dyDescent="0.35">
      <c r="A63" t="s">
        <v>104</v>
      </c>
      <c r="B63" s="1">
        <v>45649</v>
      </c>
      <c r="C63" t="s">
        <v>29</v>
      </c>
      <c r="D63" t="s">
        <v>19</v>
      </c>
      <c r="E63" t="s">
        <v>14</v>
      </c>
      <c r="F63" t="s">
        <v>20</v>
      </c>
      <c r="G63">
        <v>17</v>
      </c>
      <c r="H63">
        <v>40062</v>
      </c>
      <c r="I63">
        <v>681054</v>
      </c>
      <c r="J63" t="s">
        <v>16</v>
      </c>
      <c r="K63" t="s">
        <v>33</v>
      </c>
    </row>
    <row r="64" spans="1:11" x14ac:dyDescent="0.35">
      <c r="A64" t="s">
        <v>105</v>
      </c>
      <c r="B64" s="1">
        <v>45300</v>
      </c>
      <c r="C64" t="s">
        <v>29</v>
      </c>
      <c r="D64" t="s">
        <v>19</v>
      </c>
      <c r="E64" t="s">
        <v>30</v>
      </c>
      <c r="F64" t="s">
        <v>44</v>
      </c>
      <c r="G64">
        <v>17</v>
      </c>
      <c r="H64">
        <v>22342</v>
      </c>
      <c r="I64">
        <v>379814</v>
      </c>
      <c r="J64" t="s">
        <v>21</v>
      </c>
      <c r="K64" t="s">
        <v>33</v>
      </c>
    </row>
    <row r="65" spans="1:11" x14ac:dyDescent="0.35">
      <c r="A65" t="s">
        <v>106</v>
      </c>
      <c r="B65" s="1">
        <v>45465</v>
      </c>
      <c r="C65" t="s">
        <v>37</v>
      </c>
      <c r="D65" t="s">
        <v>13</v>
      </c>
      <c r="E65" t="s">
        <v>30</v>
      </c>
      <c r="F65" t="s">
        <v>81</v>
      </c>
      <c r="G65">
        <v>5</v>
      </c>
      <c r="H65">
        <v>32286</v>
      </c>
      <c r="I65">
        <v>161430</v>
      </c>
      <c r="J65" t="s">
        <v>27</v>
      </c>
      <c r="K65" t="s">
        <v>17</v>
      </c>
    </row>
    <row r="66" spans="1:11" x14ac:dyDescent="0.35">
      <c r="A66" t="s">
        <v>107</v>
      </c>
      <c r="B66" s="1">
        <v>45456</v>
      </c>
      <c r="C66" t="s">
        <v>24</v>
      </c>
      <c r="D66" t="s">
        <v>35</v>
      </c>
      <c r="E66" t="s">
        <v>30</v>
      </c>
      <c r="F66" t="s">
        <v>44</v>
      </c>
      <c r="G66">
        <v>9</v>
      </c>
      <c r="H66">
        <v>32072</v>
      </c>
      <c r="I66">
        <v>288648</v>
      </c>
      <c r="J66" t="s">
        <v>21</v>
      </c>
      <c r="K66" t="s">
        <v>17</v>
      </c>
    </row>
    <row r="67" spans="1:11" x14ac:dyDescent="0.35">
      <c r="A67" t="s">
        <v>108</v>
      </c>
      <c r="B67" s="1">
        <v>45416</v>
      </c>
      <c r="C67" t="s">
        <v>29</v>
      </c>
      <c r="D67" t="s">
        <v>19</v>
      </c>
      <c r="E67" t="s">
        <v>30</v>
      </c>
      <c r="F67" t="s">
        <v>44</v>
      </c>
      <c r="G67">
        <v>9</v>
      </c>
      <c r="H67">
        <v>46192</v>
      </c>
      <c r="I67">
        <v>415728</v>
      </c>
      <c r="J67" t="s">
        <v>16</v>
      </c>
      <c r="K67" t="s">
        <v>22</v>
      </c>
    </row>
    <row r="68" spans="1:11" x14ac:dyDescent="0.35">
      <c r="A68" t="s">
        <v>109</v>
      </c>
      <c r="B68" s="1">
        <v>45416</v>
      </c>
      <c r="C68" t="s">
        <v>12</v>
      </c>
      <c r="D68" t="s">
        <v>19</v>
      </c>
      <c r="E68" t="s">
        <v>14</v>
      </c>
      <c r="F68" t="s">
        <v>15</v>
      </c>
      <c r="G68">
        <v>4</v>
      </c>
      <c r="H68">
        <v>44706</v>
      </c>
      <c r="I68">
        <v>178824</v>
      </c>
      <c r="J68" t="s">
        <v>16</v>
      </c>
      <c r="K68" t="s">
        <v>17</v>
      </c>
    </row>
    <row r="69" spans="1:11" x14ac:dyDescent="0.35">
      <c r="A69" t="s">
        <v>110</v>
      </c>
      <c r="B69" s="1">
        <v>45649</v>
      </c>
      <c r="C69" t="s">
        <v>43</v>
      </c>
      <c r="D69" t="s">
        <v>19</v>
      </c>
      <c r="E69" t="s">
        <v>25</v>
      </c>
      <c r="F69" t="s">
        <v>26</v>
      </c>
      <c r="G69">
        <v>9</v>
      </c>
      <c r="H69">
        <v>13337</v>
      </c>
      <c r="I69">
        <v>120033</v>
      </c>
      <c r="J69" t="s">
        <v>16</v>
      </c>
      <c r="K69" t="s">
        <v>22</v>
      </c>
    </row>
    <row r="70" spans="1:11" x14ac:dyDescent="0.35">
      <c r="A70" t="s">
        <v>111</v>
      </c>
      <c r="B70" s="1">
        <v>45414</v>
      </c>
      <c r="C70" t="s">
        <v>43</v>
      </c>
      <c r="D70" t="s">
        <v>19</v>
      </c>
      <c r="E70" t="s">
        <v>30</v>
      </c>
      <c r="F70" t="s">
        <v>81</v>
      </c>
      <c r="G70">
        <v>10</v>
      </c>
      <c r="H70">
        <v>40464</v>
      </c>
      <c r="I70">
        <v>404640</v>
      </c>
      <c r="J70" t="s">
        <v>32</v>
      </c>
      <c r="K70" t="s">
        <v>22</v>
      </c>
    </row>
    <row r="71" spans="1:11" x14ac:dyDescent="0.35">
      <c r="A71" t="s">
        <v>112</v>
      </c>
      <c r="B71" s="1">
        <v>45606</v>
      </c>
      <c r="C71" t="s">
        <v>29</v>
      </c>
      <c r="D71" t="s">
        <v>19</v>
      </c>
      <c r="E71" t="s">
        <v>14</v>
      </c>
      <c r="F71" t="s">
        <v>20</v>
      </c>
      <c r="G71">
        <v>5</v>
      </c>
      <c r="H71">
        <v>37753</v>
      </c>
      <c r="I71">
        <v>188765</v>
      </c>
      <c r="J71" t="s">
        <v>16</v>
      </c>
      <c r="K71" t="s">
        <v>33</v>
      </c>
    </row>
    <row r="72" spans="1:11" x14ac:dyDescent="0.35">
      <c r="A72" t="s">
        <v>113</v>
      </c>
      <c r="B72" s="1">
        <v>45512</v>
      </c>
      <c r="C72" t="s">
        <v>12</v>
      </c>
      <c r="D72" t="s">
        <v>19</v>
      </c>
      <c r="E72" t="s">
        <v>14</v>
      </c>
      <c r="F72" t="s">
        <v>20</v>
      </c>
      <c r="G72">
        <v>15</v>
      </c>
      <c r="H72">
        <v>22164</v>
      </c>
      <c r="I72">
        <v>332460</v>
      </c>
      <c r="J72" t="s">
        <v>32</v>
      </c>
      <c r="K72" t="s">
        <v>17</v>
      </c>
    </row>
    <row r="73" spans="1:11" x14ac:dyDescent="0.35">
      <c r="A73" t="s">
        <v>114</v>
      </c>
      <c r="B73" s="1">
        <v>45562</v>
      </c>
      <c r="C73" t="s">
        <v>29</v>
      </c>
      <c r="D73" t="s">
        <v>13</v>
      </c>
      <c r="E73" t="s">
        <v>30</v>
      </c>
      <c r="F73" t="s">
        <v>81</v>
      </c>
      <c r="G73">
        <v>14</v>
      </c>
      <c r="H73">
        <v>17836</v>
      </c>
      <c r="I73">
        <v>249704</v>
      </c>
      <c r="J73" t="s">
        <v>27</v>
      </c>
      <c r="K73" t="s">
        <v>33</v>
      </c>
    </row>
    <row r="74" spans="1:11" x14ac:dyDescent="0.35">
      <c r="A74" t="s">
        <v>115</v>
      </c>
      <c r="B74" s="1">
        <v>45563</v>
      </c>
      <c r="C74" t="s">
        <v>24</v>
      </c>
      <c r="D74" t="s">
        <v>19</v>
      </c>
      <c r="E74" t="s">
        <v>25</v>
      </c>
      <c r="F74" t="s">
        <v>58</v>
      </c>
      <c r="G74">
        <v>3</v>
      </c>
      <c r="H74">
        <v>3165</v>
      </c>
      <c r="I74">
        <v>9495</v>
      </c>
      <c r="J74" t="s">
        <v>27</v>
      </c>
      <c r="K74" t="s">
        <v>22</v>
      </c>
    </row>
    <row r="75" spans="1:11" x14ac:dyDescent="0.35">
      <c r="A75" t="s">
        <v>116</v>
      </c>
      <c r="B75" s="1">
        <v>45355</v>
      </c>
      <c r="C75" t="s">
        <v>43</v>
      </c>
      <c r="D75" t="s">
        <v>38</v>
      </c>
      <c r="E75" t="s">
        <v>25</v>
      </c>
      <c r="F75" t="s">
        <v>58</v>
      </c>
      <c r="G75">
        <v>2</v>
      </c>
      <c r="H75">
        <v>7054</v>
      </c>
      <c r="I75">
        <v>14108</v>
      </c>
      <c r="J75" t="s">
        <v>27</v>
      </c>
      <c r="K75" t="s">
        <v>22</v>
      </c>
    </row>
    <row r="76" spans="1:11" x14ac:dyDescent="0.35">
      <c r="A76" t="s">
        <v>117</v>
      </c>
      <c r="B76" s="1">
        <v>45641</v>
      </c>
      <c r="C76" t="s">
        <v>37</v>
      </c>
      <c r="D76" t="s">
        <v>19</v>
      </c>
      <c r="E76" t="s">
        <v>39</v>
      </c>
      <c r="F76" t="s">
        <v>65</v>
      </c>
      <c r="G76">
        <v>11</v>
      </c>
      <c r="H76">
        <v>9270</v>
      </c>
      <c r="I76">
        <v>101970</v>
      </c>
      <c r="J76" t="s">
        <v>21</v>
      </c>
      <c r="K76" t="s">
        <v>22</v>
      </c>
    </row>
    <row r="77" spans="1:11" x14ac:dyDescent="0.35">
      <c r="A77" t="s">
        <v>118</v>
      </c>
      <c r="B77" s="1">
        <v>45320</v>
      </c>
      <c r="C77" t="s">
        <v>12</v>
      </c>
      <c r="D77" t="s">
        <v>35</v>
      </c>
      <c r="E77" t="s">
        <v>25</v>
      </c>
      <c r="F77" t="s">
        <v>48</v>
      </c>
      <c r="G77">
        <v>19</v>
      </c>
      <c r="H77">
        <v>8831</v>
      </c>
      <c r="I77">
        <v>167789</v>
      </c>
      <c r="J77" t="s">
        <v>32</v>
      </c>
      <c r="K77" t="s">
        <v>22</v>
      </c>
    </row>
    <row r="78" spans="1:11" x14ac:dyDescent="0.35">
      <c r="A78" t="s">
        <v>119</v>
      </c>
      <c r="B78" s="1">
        <v>45399</v>
      </c>
      <c r="C78" t="s">
        <v>37</v>
      </c>
      <c r="D78" t="s">
        <v>38</v>
      </c>
      <c r="E78" t="s">
        <v>25</v>
      </c>
      <c r="F78" t="s">
        <v>26</v>
      </c>
      <c r="G78">
        <v>8</v>
      </c>
      <c r="H78">
        <v>39435</v>
      </c>
      <c r="I78">
        <v>315480</v>
      </c>
      <c r="J78" t="s">
        <v>21</v>
      </c>
      <c r="K78" t="s">
        <v>22</v>
      </c>
    </row>
    <row r="79" spans="1:11" x14ac:dyDescent="0.35">
      <c r="A79" t="s">
        <v>120</v>
      </c>
      <c r="B79" s="1">
        <v>45550</v>
      </c>
      <c r="C79" t="s">
        <v>12</v>
      </c>
      <c r="D79" t="s">
        <v>13</v>
      </c>
      <c r="E79" t="s">
        <v>39</v>
      </c>
      <c r="F79" t="s">
        <v>65</v>
      </c>
      <c r="G79">
        <v>18</v>
      </c>
      <c r="H79">
        <v>25715</v>
      </c>
      <c r="I79">
        <v>462870</v>
      </c>
      <c r="J79" t="s">
        <v>16</v>
      </c>
      <c r="K79" t="s">
        <v>17</v>
      </c>
    </row>
    <row r="80" spans="1:11" x14ac:dyDescent="0.35">
      <c r="A80" t="s">
        <v>121</v>
      </c>
      <c r="B80" s="1">
        <v>45338</v>
      </c>
      <c r="C80" t="s">
        <v>43</v>
      </c>
      <c r="D80" t="s">
        <v>35</v>
      </c>
      <c r="E80" t="s">
        <v>39</v>
      </c>
      <c r="F80" t="s">
        <v>55</v>
      </c>
      <c r="G80">
        <v>5</v>
      </c>
      <c r="H80">
        <v>21032</v>
      </c>
      <c r="I80">
        <v>105160</v>
      </c>
      <c r="J80" t="s">
        <v>16</v>
      </c>
      <c r="K80" t="s">
        <v>17</v>
      </c>
    </row>
    <row r="81" spans="1:11" x14ac:dyDescent="0.35">
      <c r="A81" t="s">
        <v>122</v>
      </c>
      <c r="B81" s="1">
        <v>45377</v>
      </c>
      <c r="C81" t="s">
        <v>24</v>
      </c>
      <c r="D81" t="s">
        <v>13</v>
      </c>
      <c r="E81" t="s">
        <v>25</v>
      </c>
      <c r="F81" t="s">
        <v>26</v>
      </c>
      <c r="G81">
        <v>4</v>
      </c>
      <c r="H81">
        <v>5417</v>
      </c>
      <c r="I81">
        <v>21668</v>
      </c>
      <c r="J81" t="s">
        <v>32</v>
      </c>
      <c r="K81" t="s">
        <v>33</v>
      </c>
    </row>
    <row r="82" spans="1:11" x14ac:dyDescent="0.35">
      <c r="A82" t="s">
        <v>123</v>
      </c>
      <c r="B82" s="1">
        <v>45629</v>
      </c>
      <c r="C82" t="s">
        <v>37</v>
      </c>
      <c r="D82" t="s">
        <v>38</v>
      </c>
      <c r="E82" t="s">
        <v>39</v>
      </c>
      <c r="F82" t="s">
        <v>40</v>
      </c>
      <c r="G82">
        <v>9</v>
      </c>
      <c r="H82">
        <v>26671</v>
      </c>
      <c r="I82">
        <v>240039</v>
      </c>
      <c r="J82" t="s">
        <v>32</v>
      </c>
      <c r="K82" t="s">
        <v>33</v>
      </c>
    </row>
    <row r="83" spans="1:11" x14ac:dyDescent="0.35">
      <c r="A83" t="s">
        <v>124</v>
      </c>
      <c r="B83" s="1">
        <v>45603</v>
      </c>
      <c r="C83" t="s">
        <v>43</v>
      </c>
      <c r="D83" t="s">
        <v>35</v>
      </c>
      <c r="E83" t="s">
        <v>25</v>
      </c>
      <c r="F83" t="s">
        <v>26</v>
      </c>
      <c r="G83">
        <v>6</v>
      </c>
      <c r="H83">
        <v>37901</v>
      </c>
      <c r="I83">
        <v>227406</v>
      </c>
      <c r="J83" t="s">
        <v>16</v>
      </c>
      <c r="K83" t="s">
        <v>22</v>
      </c>
    </row>
    <row r="84" spans="1:11" x14ac:dyDescent="0.35">
      <c r="A84" t="s">
        <v>125</v>
      </c>
      <c r="B84" s="1">
        <v>45338</v>
      </c>
      <c r="C84" t="s">
        <v>43</v>
      </c>
      <c r="D84" t="s">
        <v>38</v>
      </c>
      <c r="E84" t="s">
        <v>30</v>
      </c>
      <c r="F84" t="s">
        <v>44</v>
      </c>
      <c r="G84">
        <v>3</v>
      </c>
      <c r="H84">
        <v>27611</v>
      </c>
      <c r="I84">
        <v>82833</v>
      </c>
      <c r="J84" t="s">
        <v>16</v>
      </c>
      <c r="K84" t="s">
        <v>33</v>
      </c>
    </row>
    <row r="85" spans="1:11" x14ac:dyDescent="0.35">
      <c r="A85" t="s">
        <v>126</v>
      </c>
      <c r="B85" s="1">
        <v>45398</v>
      </c>
      <c r="C85" t="s">
        <v>24</v>
      </c>
      <c r="D85" t="s">
        <v>35</v>
      </c>
      <c r="E85" t="s">
        <v>25</v>
      </c>
      <c r="F85" t="s">
        <v>48</v>
      </c>
      <c r="G85">
        <v>15</v>
      </c>
      <c r="H85">
        <v>22194</v>
      </c>
      <c r="I85">
        <v>332910</v>
      </c>
      <c r="J85" t="s">
        <v>21</v>
      </c>
      <c r="K85" t="s">
        <v>22</v>
      </c>
    </row>
    <row r="86" spans="1:11" x14ac:dyDescent="0.35">
      <c r="A86" t="s">
        <v>127</v>
      </c>
      <c r="B86" s="1">
        <v>45597</v>
      </c>
      <c r="C86" t="s">
        <v>24</v>
      </c>
      <c r="D86" t="s">
        <v>35</v>
      </c>
      <c r="E86" t="s">
        <v>14</v>
      </c>
      <c r="F86" t="s">
        <v>20</v>
      </c>
      <c r="G86">
        <v>3</v>
      </c>
      <c r="H86">
        <v>29324</v>
      </c>
      <c r="I86">
        <v>87972</v>
      </c>
      <c r="J86" t="s">
        <v>21</v>
      </c>
      <c r="K86" t="s">
        <v>17</v>
      </c>
    </row>
    <row r="87" spans="1:11" x14ac:dyDescent="0.35">
      <c r="A87" t="s">
        <v>128</v>
      </c>
      <c r="B87" s="1">
        <v>45419</v>
      </c>
      <c r="C87" t="s">
        <v>24</v>
      </c>
      <c r="D87" t="s">
        <v>13</v>
      </c>
      <c r="E87" t="s">
        <v>25</v>
      </c>
      <c r="F87" t="s">
        <v>48</v>
      </c>
      <c r="G87">
        <v>4</v>
      </c>
      <c r="H87">
        <v>950</v>
      </c>
      <c r="I87">
        <v>3800</v>
      </c>
      <c r="J87" t="s">
        <v>16</v>
      </c>
      <c r="K87" t="s">
        <v>17</v>
      </c>
    </row>
    <row r="88" spans="1:11" x14ac:dyDescent="0.35">
      <c r="A88" t="s">
        <v>129</v>
      </c>
      <c r="B88" s="1">
        <v>45640</v>
      </c>
      <c r="C88" t="s">
        <v>12</v>
      </c>
      <c r="D88" t="s">
        <v>19</v>
      </c>
      <c r="E88" t="s">
        <v>25</v>
      </c>
      <c r="F88" t="s">
        <v>48</v>
      </c>
      <c r="G88">
        <v>11</v>
      </c>
      <c r="H88">
        <v>32293</v>
      </c>
      <c r="I88">
        <v>355223</v>
      </c>
      <c r="J88" t="s">
        <v>27</v>
      </c>
      <c r="K88" t="s">
        <v>17</v>
      </c>
    </row>
    <row r="89" spans="1:11" x14ac:dyDescent="0.35">
      <c r="A89" t="s">
        <v>130</v>
      </c>
      <c r="B89" s="1">
        <v>45398</v>
      </c>
      <c r="C89" t="s">
        <v>29</v>
      </c>
      <c r="D89" t="s">
        <v>19</v>
      </c>
      <c r="E89" t="s">
        <v>39</v>
      </c>
      <c r="F89" t="s">
        <v>55</v>
      </c>
      <c r="G89">
        <v>18</v>
      </c>
      <c r="H89">
        <v>31227</v>
      </c>
      <c r="I89">
        <v>562086</v>
      </c>
      <c r="J89" t="s">
        <v>16</v>
      </c>
      <c r="K89" t="s">
        <v>17</v>
      </c>
    </row>
    <row r="90" spans="1:11" x14ac:dyDescent="0.35">
      <c r="A90" t="s">
        <v>131</v>
      </c>
      <c r="B90" s="1">
        <v>45514</v>
      </c>
      <c r="C90" t="s">
        <v>37</v>
      </c>
      <c r="D90" t="s">
        <v>38</v>
      </c>
      <c r="E90" t="s">
        <v>25</v>
      </c>
      <c r="F90" t="s">
        <v>26</v>
      </c>
      <c r="G90">
        <v>4</v>
      </c>
      <c r="H90">
        <v>41939</v>
      </c>
      <c r="I90">
        <v>167756</v>
      </c>
      <c r="J90" t="s">
        <v>16</v>
      </c>
      <c r="K90" t="s">
        <v>33</v>
      </c>
    </row>
    <row r="91" spans="1:11" x14ac:dyDescent="0.35">
      <c r="A91" t="s">
        <v>132</v>
      </c>
      <c r="B91" s="1">
        <v>45300</v>
      </c>
      <c r="C91" t="s">
        <v>37</v>
      </c>
      <c r="D91" t="s">
        <v>35</v>
      </c>
      <c r="E91" t="s">
        <v>30</v>
      </c>
      <c r="F91" t="s">
        <v>81</v>
      </c>
      <c r="G91">
        <v>8</v>
      </c>
      <c r="H91">
        <v>39422</v>
      </c>
      <c r="I91">
        <v>315376</v>
      </c>
      <c r="J91" t="s">
        <v>21</v>
      </c>
      <c r="K91" t="s">
        <v>17</v>
      </c>
    </row>
    <row r="92" spans="1:11" x14ac:dyDescent="0.35">
      <c r="A92" t="s">
        <v>133</v>
      </c>
      <c r="B92" s="1">
        <v>45348</v>
      </c>
      <c r="C92" t="s">
        <v>29</v>
      </c>
      <c r="D92" t="s">
        <v>38</v>
      </c>
      <c r="E92" t="s">
        <v>39</v>
      </c>
      <c r="F92" t="s">
        <v>40</v>
      </c>
      <c r="G92">
        <v>12</v>
      </c>
      <c r="H92">
        <v>13801</v>
      </c>
      <c r="I92">
        <v>165612</v>
      </c>
      <c r="J92" t="s">
        <v>16</v>
      </c>
      <c r="K92" t="s">
        <v>17</v>
      </c>
    </row>
    <row r="93" spans="1:11" x14ac:dyDescent="0.35">
      <c r="A93" t="s">
        <v>134</v>
      </c>
      <c r="B93" s="1">
        <v>45566</v>
      </c>
      <c r="C93" t="s">
        <v>37</v>
      </c>
      <c r="D93" t="s">
        <v>13</v>
      </c>
      <c r="E93" t="s">
        <v>30</v>
      </c>
      <c r="F93" t="s">
        <v>31</v>
      </c>
      <c r="G93">
        <v>11</v>
      </c>
      <c r="H93">
        <v>38266</v>
      </c>
      <c r="I93">
        <v>420926</v>
      </c>
      <c r="J93" t="s">
        <v>27</v>
      </c>
      <c r="K93" t="s">
        <v>33</v>
      </c>
    </row>
    <row r="94" spans="1:11" x14ac:dyDescent="0.35">
      <c r="A94" t="s">
        <v>135</v>
      </c>
      <c r="B94" s="1">
        <v>45618</v>
      </c>
      <c r="C94" t="s">
        <v>37</v>
      </c>
      <c r="D94" t="s">
        <v>38</v>
      </c>
      <c r="E94" t="s">
        <v>39</v>
      </c>
      <c r="F94" t="s">
        <v>55</v>
      </c>
      <c r="G94">
        <v>15</v>
      </c>
      <c r="H94">
        <v>30440</v>
      </c>
      <c r="I94">
        <v>456600</v>
      </c>
      <c r="J94" t="s">
        <v>27</v>
      </c>
      <c r="K94" t="s">
        <v>17</v>
      </c>
    </row>
    <row r="95" spans="1:11" x14ac:dyDescent="0.35">
      <c r="A95" t="s">
        <v>136</v>
      </c>
      <c r="B95" s="1">
        <v>45627</v>
      </c>
      <c r="C95" t="s">
        <v>29</v>
      </c>
      <c r="D95" t="s">
        <v>35</v>
      </c>
      <c r="E95" t="s">
        <v>30</v>
      </c>
      <c r="F95" t="s">
        <v>31</v>
      </c>
      <c r="G95">
        <v>20</v>
      </c>
      <c r="H95">
        <v>47527</v>
      </c>
      <c r="I95">
        <v>950540</v>
      </c>
      <c r="J95" t="s">
        <v>27</v>
      </c>
      <c r="K95" t="s">
        <v>33</v>
      </c>
    </row>
    <row r="96" spans="1:11" x14ac:dyDescent="0.35">
      <c r="A96" t="s">
        <v>137</v>
      </c>
      <c r="B96" s="1">
        <v>45434</v>
      </c>
      <c r="C96" t="s">
        <v>43</v>
      </c>
      <c r="D96" t="s">
        <v>35</v>
      </c>
      <c r="E96" t="s">
        <v>30</v>
      </c>
      <c r="F96" t="s">
        <v>81</v>
      </c>
      <c r="G96">
        <v>5</v>
      </c>
      <c r="H96">
        <v>11683</v>
      </c>
      <c r="I96">
        <v>58415</v>
      </c>
      <c r="J96" t="s">
        <v>27</v>
      </c>
      <c r="K96" t="s">
        <v>33</v>
      </c>
    </row>
    <row r="97" spans="1:11" x14ac:dyDescent="0.35">
      <c r="A97" t="s">
        <v>138</v>
      </c>
      <c r="B97" s="1">
        <v>45381</v>
      </c>
      <c r="C97" t="s">
        <v>37</v>
      </c>
      <c r="D97" t="s">
        <v>19</v>
      </c>
      <c r="E97" t="s">
        <v>14</v>
      </c>
      <c r="F97" t="s">
        <v>62</v>
      </c>
      <c r="G97">
        <v>13</v>
      </c>
      <c r="H97">
        <v>7731</v>
      </c>
      <c r="I97">
        <v>100503</v>
      </c>
      <c r="J97" t="s">
        <v>16</v>
      </c>
      <c r="K97" t="s">
        <v>22</v>
      </c>
    </row>
    <row r="98" spans="1:11" x14ac:dyDescent="0.35">
      <c r="A98" t="s">
        <v>139</v>
      </c>
      <c r="B98" s="1">
        <v>45341</v>
      </c>
      <c r="C98" t="s">
        <v>43</v>
      </c>
      <c r="D98" t="s">
        <v>35</v>
      </c>
      <c r="E98" t="s">
        <v>30</v>
      </c>
      <c r="F98" t="s">
        <v>44</v>
      </c>
      <c r="G98">
        <v>12</v>
      </c>
      <c r="H98">
        <v>49979</v>
      </c>
      <c r="I98">
        <v>599748</v>
      </c>
      <c r="J98" t="s">
        <v>21</v>
      </c>
      <c r="K98" t="s">
        <v>17</v>
      </c>
    </row>
    <row r="99" spans="1:11" x14ac:dyDescent="0.35">
      <c r="A99" t="s">
        <v>140</v>
      </c>
      <c r="B99" s="1">
        <v>45473</v>
      </c>
      <c r="C99" t="s">
        <v>43</v>
      </c>
      <c r="D99" t="s">
        <v>38</v>
      </c>
      <c r="E99" t="s">
        <v>39</v>
      </c>
      <c r="F99" t="s">
        <v>55</v>
      </c>
      <c r="G99">
        <v>17</v>
      </c>
      <c r="H99">
        <v>16384</v>
      </c>
      <c r="I99">
        <v>278528</v>
      </c>
      <c r="J99" t="s">
        <v>32</v>
      </c>
      <c r="K99" t="s">
        <v>17</v>
      </c>
    </row>
    <row r="100" spans="1:11" x14ac:dyDescent="0.35">
      <c r="A100" t="s">
        <v>141</v>
      </c>
      <c r="B100" s="1">
        <v>45328</v>
      </c>
      <c r="C100" t="s">
        <v>29</v>
      </c>
      <c r="D100" t="s">
        <v>13</v>
      </c>
      <c r="E100" t="s">
        <v>39</v>
      </c>
      <c r="F100" t="s">
        <v>65</v>
      </c>
      <c r="G100">
        <v>9</v>
      </c>
      <c r="H100">
        <v>30944</v>
      </c>
      <c r="I100">
        <v>278496</v>
      </c>
      <c r="J100" t="s">
        <v>32</v>
      </c>
      <c r="K100" t="s">
        <v>22</v>
      </c>
    </row>
    <row r="101" spans="1:11" x14ac:dyDescent="0.35">
      <c r="A101" t="s">
        <v>142</v>
      </c>
      <c r="B101" s="1">
        <v>45576</v>
      </c>
      <c r="C101" t="s">
        <v>37</v>
      </c>
      <c r="D101" t="s">
        <v>13</v>
      </c>
      <c r="E101" t="s">
        <v>39</v>
      </c>
      <c r="F101" t="s">
        <v>55</v>
      </c>
      <c r="G101">
        <v>15</v>
      </c>
      <c r="H101">
        <v>32522</v>
      </c>
      <c r="I101">
        <v>487830</v>
      </c>
      <c r="J101" t="s">
        <v>21</v>
      </c>
      <c r="K101" t="s">
        <v>22</v>
      </c>
    </row>
    <row r="102" spans="1:11" x14ac:dyDescent="0.35">
      <c r="A102" t="s">
        <v>143</v>
      </c>
      <c r="B102" s="1">
        <v>45399</v>
      </c>
      <c r="C102" t="s">
        <v>24</v>
      </c>
      <c r="D102" t="s">
        <v>19</v>
      </c>
      <c r="E102" t="s">
        <v>25</v>
      </c>
      <c r="F102" t="s">
        <v>26</v>
      </c>
      <c r="G102">
        <v>4</v>
      </c>
      <c r="H102">
        <v>17856</v>
      </c>
      <c r="I102">
        <v>71424</v>
      </c>
      <c r="J102" t="s">
        <v>32</v>
      </c>
      <c r="K102" t="s">
        <v>22</v>
      </c>
    </row>
    <row r="103" spans="1:11" x14ac:dyDescent="0.35">
      <c r="A103" t="s">
        <v>144</v>
      </c>
      <c r="B103" s="1">
        <v>45620</v>
      </c>
      <c r="C103" t="s">
        <v>37</v>
      </c>
      <c r="D103" t="s">
        <v>35</v>
      </c>
      <c r="E103" t="s">
        <v>25</v>
      </c>
      <c r="F103" t="s">
        <v>48</v>
      </c>
      <c r="G103">
        <v>5</v>
      </c>
      <c r="H103">
        <v>21457</v>
      </c>
      <c r="I103">
        <v>107285</v>
      </c>
      <c r="J103" t="s">
        <v>21</v>
      </c>
      <c r="K103" t="s">
        <v>22</v>
      </c>
    </row>
    <row r="104" spans="1:11" x14ac:dyDescent="0.35">
      <c r="A104" t="s">
        <v>145</v>
      </c>
      <c r="B104" s="1">
        <v>45327</v>
      </c>
      <c r="C104" t="s">
        <v>24</v>
      </c>
      <c r="D104" t="s">
        <v>19</v>
      </c>
      <c r="E104" t="s">
        <v>25</v>
      </c>
      <c r="F104" t="s">
        <v>58</v>
      </c>
      <c r="G104">
        <v>17</v>
      </c>
      <c r="H104">
        <v>3054</v>
      </c>
      <c r="I104">
        <v>51918</v>
      </c>
      <c r="J104" t="s">
        <v>27</v>
      </c>
      <c r="K104" t="s">
        <v>33</v>
      </c>
    </row>
    <row r="105" spans="1:11" x14ac:dyDescent="0.35">
      <c r="A105" t="s">
        <v>146</v>
      </c>
      <c r="B105" s="1">
        <v>45422</v>
      </c>
      <c r="C105" t="s">
        <v>29</v>
      </c>
      <c r="D105" t="s">
        <v>13</v>
      </c>
      <c r="E105" t="s">
        <v>39</v>
      </c>
      <c r="F105" t="s">
        <v>40</v>
      </c>
      <c r="G105">
        <v>6</v>
      </c>
      <c r="H105">
        <v>39393</v>
      </c>
      <c r="I105">
        <v>236358</v>
      </c>
      <c r="J105" t="s">
        <v>21</v>
      </c>
      <c r="K105" t="s">
        <v>22</v>
      </c>
    </row>
    <row r="106" spans="1:11" x14ac:dyDescent="0.35">
      <c r="A106" t="s">
        <v>147</v>
      </c>
      <c r="B106" s="1">
        <v>45430</v>
      </c>
      <c r="C106" t="s">
        <v>24</v>
      </c>
      <c r="D106" t="s">
        <v>38</v>
      </c>
      <c r="E106" t="s">
        <v>30</v>
      </c>
      <c r="F106" t="s">
        <v>31</v>
      </c>
      <c r="G106">
        <v>4</v>
      </c>
      <c r="H106">
        <v>12830</v>
      </c>
      <c r="I106">
        <v>51320</v>
      </c>
      <c r="J106" t="s">
        <v>27</v>
      </c>
      <c r="K106" t="s">
        <v>17</v>
      </c>
    </row>
    <row r="107" spans="1:11" x14ac:dyDescent="0.35">
      <c r="A107" t="s">
        <v>148</v>
      </c>
      <c r="B107" s="1">
        <v>45421</v>
      </c>
      <c r="C107" t="s">
        <v>29</v>
      </c>
      <c r="D107" t="s">
        <v>19</v>
      </c>
      <c r="E107" t="s">
        <v>25</v>
      </c>
      <c r="F107" t="s">
        <v>58</v>
      </c>
      <c r="G107">
        <v>8</v>
      </c>
      <c r="H107">
        <v>21734</v>
      </c>
      <c r="I107">
        <v>173872</v>
      </c>
      <c r="J107" t="s">
        <v>32</v>
      </c>
      <c r="K107" t="s">
        <v>22</v>
      </c>
    </row>
    <row r="108" spans="1:11" x14ac:dyDescent="0.35">
      <c r="A108" t="s">
        <v>149</v>
      </c>
      <c r="B108" s="1">
        <v>45649</v>
      </c>
      <c r="C108" t="s">
        <v>12</v>
      </c>
      <c r="D108" t="s">
        <v>19</v>
      </c>
      <c r="E108" t="s">
        <v>39</v>
      </c>
      <c r="F108" t="s">
        <v>65</v>
      </c>
      <c r="G108">
        <v>14</v>
      </c>
      <c r="H108">
        <v>44020</v>
      </c>
      <c r="I108">
        <v>616280</v>
      </c>
      <c r="J108" t="s">
        <v>16</v>
      </c>
      <c r="K108" t="s">
        <v>33</v>
      </c>
    </row>
    <row r="109" spans="1:11" x14ac:dyDescent="0.35">
      <c r="A109" t="s">
        <v>150</v>
      </c>
      <c r="B109" s="1">
        <v>45582</v>
      </c>
      <c r="C109" t="s">
        <v>29</v>
      </c>
      <c r="D109" t="s">
        <v>19</v>
      </c>
      <c r="E109" t="s">
        <v>25</v>
      </c>
      <c r="F109" t="s">
        <v>26</v>
      </c>
      <c r="G109">
        <v>18</v>
      </c>
      <c r="H109">
        <v>7939</v>
      </c>
      <c r="I109">
        <v>142902</v>
      </c>
      <c r="J109" t="s">
        <v>27</v>
      </c>
      <c r="K109" t="s">
        <v>22</v>
      </c>
    </row>
    <row r="110" spans="1:11" x14ac:dyDescent="0.35">
      <c r="A110" t="s">
        <v>151</v>
      </c>
      <c r="B110" s="1">
        <v>45316</v>
      </c>
      <c r="C110" t="s">
        <v>29</v>
      </c>
      <c r="D110" t="s">
        <v>35</v>
      </c>
      <c r="E110" t="s">
        <v>39</v>
      </c>
      <c r="F110" t="s">
        <v>65</v>
      </c>
      <c r="G110">
        <v>16</v>
      </c>
      <c r="H110">
        <v>43168</v>
      </c>
      <c r="I110">
        <v>690688</v>
      </c>
      <c r="J110" t="s">
        <v>27</v>
      </c>
      <c r="K110" t="s">
        <v>17</v>
      </c>
    </row>
    <row r="111" spans="1:11" x14ac:dyDescent="0.35">
      <c r="A111" t="s">
        <v>152</v>
      </c>
      <c r="B111" s="1">
        <v>45338</v>
      </c>
      <c r="C111" t="s">
        <v>37</v>
      </c>
      <c r="D111" t="s">
        <v>13</v>
      </c>
      <c r="E111" t="s">
        <v>30</v>
      </c>
      <c r="F111" t="s">
        <v>81</v>
      </c>
      <c r="G111">
        <v>6</v>
      </c>
      <c r="H111">
        <v>38525</v>
      </c>
      <c r="I111">
        <v>231150</v>
      </c>
      <c r="J111" t="s">
        <v>21</v>
      </c>
      <c r="K111" t="s">
        <v>22</v>
      </c>
    </row>
    <row r="112" spans="1:11" x14ac:dyDescent="0.35">
      <c r="A112" t="s">
        <v>153</v>
      </c>
      <c r="B112" s="1">
        <v>45608</v>
      </c>
      <c r="C112" t="s">
        <v>37</v>
      </c>
      <c r="D112" t="s">
        <v>35</v>
      </c>
      <c r="E112" t="s">
        <v>14</v>
      </c>
      <c r="F112" t="s">
        <v>62</v>
      </c>
      <c r="G112">
        <v>17</v>
      </c>
      <c r="H112">
        <v>34490</v>
      </c>
      <c r="I112">
        <v>586330</v>
      </c>
      <c r="J112" t="s">
        <v>32</v>
      </c>
      <c r="K112" t="s">
        <v>33</v>
      </c>
    </row>
    <row r="113" spans="1:11" x14ac:dyDescent="0.35">
      <c r="A113" t="s">
        <v>154</v>
      </c>
      <c r="B113" s="1">
        <v>45296</v>
      </c>
      <c r="C113" t="s">
        <v>12</v>
      </c>
      <c r="D113" t="s">
        <v>38</v>
      </c>
      <c r="E113" t="s">
        <v>39</v>
      </c>
      <c r="F113" t="s">
        <v>55</v>
      </c>
      <c r="G113">
        <v>5</v>
      </c>
      <c r="H113">
        <v>48647</v>
      </c>
      <c r="I113">
        <v>243235</v>
      </c>
      <c r="J113" t="s">
        <v>32</v>
      </c>
      <c r="K113" t="s">
        <v>22</v>
      </c>
    </row>
    <row r="114" spans="1:11" x14ac:dyDescent="0.35">
      <c r="A114" t="s">
        <v>155</v>
      </c>
      <c r="B114" s="1">
        <v>45457</v>
      </c>
      <c r="C114" t="s">
        <v>12</v>
      </c>
      <c r="D114" t="s">
        <v>13</v>
      </c>
      <c r="E114" t="s">
        <v>14</v>
      </c>
      <c r="F114" t="s">
        <v>20</v>
      </c>
      <c r="G114">
        <v>6</v>
      </c>
      <c r="H114">
        <v>36830</v>
      </c>
      <c r="I114">
        <v>220980</v>
      </c>
      <c r="J114" t="s">
        <v>21</v>
      </c>
      <c r="K114" t="s">
        <v>22</v>
      </c>
    </row>
    <row r="115" spans="1:11" x14ac:dyDescent="0.35">
      <c r="A115" t="s">
        <v>156</v>
      </c>
      <c r="B115" s="1">
        <v>45295</v>
      </c>
      <c r="C115" t="s">
        <v>37</v>
      </c>
      <c r="D115" t="s">
        <v>38</v>
      </c>
      <c r="E115" t="s">
        <v>14</v>
      </c>
      <c r="F115" t="s">
        <v>15</v>
      </c>
      <c r="G115">
        <v>19</v>
      </c>
      <c r="H115">
        <v>10422</v>
      </c>
      <c r="I115">
        <v>198018</v>
      </c>
      <c r="J115" t="s">
        <v>32</v>
      </c>
      <c r="K115" t="s">
        <v>22</v>
      </c>
    </row>
    <row r="116" spans="1:11" x14ac:dyDescent="0.35">
      <c r="A116" t="s">
        <v>157</v>
      </c>
      <c r="B116" s="1">
        <v>45646</v>
      </c>
      <c r="C116" t="s">
        <v>43</v>
      </c>
      <c r="D116" t="s">
        <v>38</v>
      </c>
      <c r="E116" t="s">
        <v>39</v>
      </c>
      <c r="F116" t="s">
        <v>65</v>
      </c>
      <c r="G116">
        <v>15</v>
      </c>
      <c r="H116">
        <v>4890</v>
      </c>
      <c r="I116">
        <v>73350</v>
      </c>
      <c r="J116" t="s">
        <v>32</v>
      </c>
      <c r="K116" t="s">
        <v>33</v>
      </c>
    </row>
    <row r="117" spans="1:11" x14ac:dyDescent="0.35">
      <c r="A117" t="s">
        <v>158</v>
      </c>
      <c r="B117" s="1">
        <v>45637</v>
      </c>
      <c r="C117" t="s">
        <v>29</v>
      </c>
      <c r="D117" t="s">
        <v>35</v>
      </c>
      <c r="E117" t="s">
        <v>30</v>
      </c>
      <c r="F117" t="s">
        <v>31</v>
      </c>
      <c r="G117">
        <v>16</v>
      </c>
      <c r="H117">
        <v>24372</v>
      </c>
      <c r="I117">
        <v>389952</v>
      </c>
      <c r="J117" t="s">
        <v>16</v>
      </c>
      <c r="K117" t="s">
        <v>17</v>
      </c>
    </row>
    <row r="118" spans="1:11" x14ac:dyDescent="0.35">
      <c r="A118" t="s">
        <v>159</v>
      </c>
      <c r="B118" s="1">
        <v>45413</v>
      </c>
      <c r="C118" t="s">
        <v>43</v>
      </c>
      <c r="D118" t="s">
        <v>13</v>
      </c>
      <c r="E118" t="s">
        <v>25</v>
      </c>
      <c r="F118" t="s">
        <v>48</v>
      </c>
      <c r="G118">
        <v>10</v>
      </c>
      <c r="H118">
        <v>43888</v>
      </c>
      <c r="I118">
        <v>438880</v>
      </c>
      <c r="J118" t="s">
        <v>27</v>
      </c>
      <c r="K118" t="s">
        <v>22</v>
      </c>
    </row>
    <row r="119" spans="1:11" x14ac:dyDescent="0.35">
      <c r="A119" t="s">
        <v>160</v>
      </c>
      <c r="B119" s="1">
        <v>45438</v>
      </c>
      <c r="C119" t="s">
        <v>37</v>
      </c>
      <c r="D119" t="s">
        <v>35</v>
      </c>
      <c r="E119" t="s">
        <v>25</v>
      </c>
      <c r="F119" t="s">
        <v>48</v>
      </c>
      <c r="G119">
        <v>7</v>
      </c>
      <c r="H119">
        <v>9447</v>
      </c>
      <c r="I119">
        <v>66129</v>
      </c>
      <c r="J119" t="s">
        <v>21</v>
      </c>
      <c r="K119" t="s">
        <v>33</v>
      </c>
    </row>
    <row r="120" spans="1:11" x14ac:dyDescent="0.35">
      <c r="A120" t="s">
        <v>161</v>
      </c>
      <c r="B120" s="1">
        <v>45375</v>
      </c>
      <c r="C120" t="s">
        <v>43</v>
      </c>
      <c r="D120" t="s">
        <v>13</v>
      </c>
      <c r="E120" t="s">
        <v>30</v>
      </c>
      <c r="F120" t="s">
        <v>44</v>
      </c>
      <c r="G120">
        <v>15</v>
      </c>
      <c r="H120">
        <v>20154</v>
      </c>
      <c r="I120">
        <v>302310</v>
      </c>
      <c r="J120" t="s">
        <v>32</v>
      </c>
      <c r="K120" t="s">
        <v>33</v>
      </c>
    </row>
    <row r="121" spans="1:11" x14ac:dyDescent="0.35">
      <c r="A121" t="s">
        <v>162</v>
      </c>
      <c r="B121" s="1">
        <v>45305</v>
      </c>
      <c r="C121" t="s">
        <v>29</v>
      </c>
      <c r="D121" t="s">
        <v>35</v>
      </c>
      <c r="E121" t="s">
        <v>39</v>
      </c>
      <c r="F121" t="s">
        <v>55</v>
      </c>
      <c r="G121">
        <v>6</v>
      </c>
      <c r="H121">
        <v>42986</v>
      </c>
      <c r="I121">
        <v>257916</v>
      </c>
      <c r="J121" t="s">
        <v>16</v>
      </c>
      <c r="K121" t="s">
        <v>17</v>
      </c>
    </row>
    <row r="122" spans="1:11" x14ac:dyDescent="0.35">
      <c r="A122" t="s">
        <v>163</v>
      </c>
      <c r="B122" s="1">
        <v>45565</v>
      </c>
      <c r="C122" t="s">
        <v>37</v>
      </c>
      <c r="D122" t="s">
        <v>19</v>
      </c>
      <c r="E122" t="s">
        <v>14</v>
      </c>
      <c r="F122" t="s">
        <v>20</v>
      </c>
      <c r="G122">
        <v>3</v>
      </c>
      <c r="H122">
        <v>12750</v>
      </c>
      <c r="I122">
        <v>38250</v>
      </c>
      <c r="J122" t="s">
        <v>21</v>
      </c>
      <c r="K122" t="s">
        <v>22</v>
      </c>
    </row>
    <row r="123" spans="1:11" x14ac:dyDescent="0.35">
      <c r="A123" t="s">
        <v>164</v>
      </c>
      <c r="B123" s="1">
        <v>45357</v>
      </c>
      <c r="C123" t="s">
        <v>24</v>
      </c>
      <c r="D123" t="s">
        <v>19</v>
      </c>
      <c r="E123" t="s">
        <v>39</v>
      </c>
      <c r="F123" t="s">
        <v>55</v>
      </c>
      <c r="G123">
        <v>11</v>
      </c>
      <c r="H123">
        <v>33514</v>
      </c>
      <c r="I123">
        <v>368654</v>
      </c>
      <c r="J123" t="s">
        <v>32</v>
      </c>
      <c r="K123" t="s">
        <v>17</v>
      </c>
    </row>
    <row r="124" spans="1:11" x14ac:dyDescent="0.35">
      <c r="A124" t="s">
        <v>165</v>
      </c>
      <c r="B124" s="1">
        <v>45421</v>
      </c>
      <c r="C124" t="s">
        <v>37</v>
      </c>
      <c r="D124" t="s">
        <v>35</v>
      </c>
      <c r="E124" t="s">
        <v>39</v>
      </c>
      <c r="F124" t="s">
        <v>65</v>
      </c>
      <c r="G124">
        <v>15</v>
      </c>
      <c r="H124">
        <v>14397</v>
      </c>
      <c r="I124">
        <v>215955</v>
      </c>
      <c r="J124" t="s">
        <v>32</v>
      </c>
      <c r="K124" t="s">
        <v>17</v>
      </c>
    </row>
    <row r="125" spans="1:11" x14ac:dyDescent="0.35">
      <c r="A125" t="s">
        <v>166</v>
      </c>
      <c r="B125" s="1">
        <v>45420</v>
      </c>
      <c r="C125" t="s">
        <v>24</v>
      </c>
      <c r="D125" t="s">
        <v>13</v>
      </c>
      <c r="E125" t="s">
        <v>25</v>
      </c>
      <c r="F125" t="s">
        <v>48</v>
      </c>
      <c r="G125">
        <v>13</v>
      </c>
      <c r="H125">
        <v>28326</v>
      </c>
      <c r="I125">
        <v>368238</v>
      </c>
      <c r="J125" t="s">
        <v>21</v>
      </c>
      <c r="K125" t="s">
        <v>17</v>
      </c>
    </row>
    <row r="126" spans="1:11" x14ac:dyDescent="0.35">
      <c r="A126" t="s">
        <v>167</v>
      </c>
      <c r="B126" s="1">
        <v>45422</v>
      </c>
      <c r="C126" t="s">
        <v>43</v>
      </c>
      <c r="D126" t="s">
        <v>38</v>
      </c>
      <c r="E126" t="s">
        <v>30</v>
      </c>
      <c r="F126" t="s">
        <v>44</v>
      </c>
      <c r="G126">
        <v>15</v>
      </c>
      <c r="H126">
        <v>42432</v>
      </c>
      <c r="I126">
        <v>636480</v>
      </c>
      <c r="J126" t="s">
        <v>27</v>
      </c>
      <c r="K126" t="s">
        <v>22</v>
      </c>
    </row>
    <row r="127" spans="1:11" x14ac:dyDescent="0.35">
      <c r="A127" t="s">
        <v>168</v>
      </c>
      <c r="B127" s="1">
        <v>45298</v>
      </c>
      <c r="C127" t="s">
        <v>12</v>
      </c>
      <c r="D127" t="s">
        <v>13</v>
      </c>
      <c r="E127" t="s">
        <v>39</v>
      </c>
      <c r="F127" t="s">
        <v>55</v>
      </c>
      <c r="G127">
        <v>1</v>
      </c>
      <c r="H127">
        <v>25233</v>
      </c>
      <c r="I127">
        <v>25233</v>
      </c>
      <c r="J127" t="s">
        <v>27</v>
      </c>
      <c r="K127" t="s">
        <v>22</v>
      </c>
    </row>
    <row r="128" spans="1:11" x14ac:dyDescent="0.35">
      <c r="A128" t="s">
        <v>169</v>
      </c>
      <c r="B128" s="1">
        <v>45351</v>
      </c>
      <c r="C128" t="s">
        <v>37</v>
      </c>
      <c r="D128" t="s">
        <v>13</v>
      </c>
      <c r="E128" t="s">
        <v>39</v>
      </c>
      <c r="F128" t="s">
        <v>40</v>
      </c>
      <c r="G128">
        <v>19</v>
      </c>
      <c r="H128">
        <v>17594</v>
      </c>
      <c r="I128">
        <v>334286</v>
      </c>
      <c r="J128" t="s">
        <v>21</v>
      </c>
      <c r="K128" t="s">
        <v>22</v>
      </c>
    </row>
    <row r="129" spans="1:11" x14ac:dyDescent="0.35">
      <c r="A129" t="s">
        <v>170</v>
      </c>
      <c r="B129" s="1">
        <v>45604</v>
      </c>
      <c r="C129" t="s">
        <v>24</v>
      </c>
      <c r="D129" t="s">
        <v>19</v>
      </c>
      <c r="E129" t="s">
        <v>39</v>
      </c>
      <c r="F129" t="s">
        <v>65</v>
      </c>
      <c r="G129">
        <v>8</v>
      </c>
      <c r="H129">
        <v>27733</v>
      </c>
      <c r="I129">
        <v>221864</v>
      </c>
      <c r="J129" t="s">
        <v>21</v>
      </c>
      <c r="K129" t="s">
        <v>22</v>
      </c>
    </row>
    <row r="130" spans="1:11" x14ac:dyDescent="0.35">
      <c r="A130" t="s">
        <v>171</v>
      </c>
      <c r="B130" s="1">
        <v>45467</v>
      </c>
      <c r="C130" t="s">
        <v>37</v>
      </c>
      <c r="D130" t="s">
        <v>19</v>
      </c>
      <c r="E130" t="s">
        <v>25</v>
      </c>
      <c r="F130" t="s">
        <v>48</v>
      </c>
      <c r="G130">
        <v>6</v>
      </c>
      <c r="H130">
        <v>26036</v>
      </c>
      <c r="I130">
        <v>156216</v>
      </c>
      <c r="J130" t="s">
        <v>21</v>
      </c>
      <c r="K130" t="s">
        <v>33</v>
      </c>
    </row>
    <row r="131" spans="1:11" x14ac:dyDescent="0.35">
      <c r="A131" t="s">
        <v>172</v>
      </c>
      <c r="B131" s="1">
        <v>45472</v>
      </c>
      <c r="C131" t="s">
        <v>37</v>
      </c>
      <c r="D131" t="s">
        <v>35</v>
      </c>
      <c r="E131" t="s">
        <v>39</v>
      </c>
      <c r="F131" t="s">
        <v>65</v>
      </c>
      <c r="G131">
        <v>9</v>
      </c>
      <c r="H131">
        <v>40525</v>
      </c>
      <c r="I131">
        <v>364725</v>
      </c>
      <c r="J131" t="s">
        <v>32</v>
      </c>
      <c r="K131" t="s">
        <v>22</v>
      </c>
    </row>
    <row r="132" spans="1:11" x14ac:dyDescent="0.35">
      <c r="A132" t="s">
        <v>173</v>
      </c>
      <c r="B132" s="1">
        <v>45584</v>
      </c>
      <c r="C132" t="s">
        <v>24</v>
      </c>
      <c r="D132" t="s">
        <v>13</v>
      </c>
      <c r="E132" t="s">
        <v>39</v>
      </c>
      <c r="F132" t="s">
        <v>40</v>
      </c>
      <c r="G132">
        <v>16</v>
      </c>
      <c r="H132">
        <v>42644</v>
      </c>
      <c r="I132">
        <v>682304</v>
      </c>
      <c r="J132" t="s">
        <v>27</v>
      </c>
      <c r="K132" t="s">
        <v>22</v>
      </c>
    </row>
    <row r="133" spans="1:11" x14ac:dyDescent="0.35">
      <c r="A133" t="s">
        <v>174</v>
      </c>
      <c r="B133" s="1">
        <v>45465</v>
      </c>
      <c r="C133" t="s">
        <v>12</v>
      </c>
      <c r="D133" t="s">
        <v>35</v>
      </c>
      <c r="E133" t="s">
        <v>25</v>
      </c>
      <c r="F133" t="s">
        <v>26</v>
      </c>
      <c r="G133">
        <v>6</v>
      </c>
      <c r="H133">
        <v>27041</v>
      </c>
      <c r="I133">
        <v>162246</v>
      </c>
      <c r="J133" t="s">
        <v>16</v>
      </c>
      <c r="K133" t="s">
        <v>33</v>
      </c>
    </row>
    <row r="134" spans="1:11" x14ac:dyDescent="0.35">
      <c r="A134" t="s">
        <v>175</v>
      </c>
      <c r="B134" s="1">
        <v>45401</v>
      </c>
      <c r="C134" t="s">
        <v>29</v>
      </c>
      <c r="D134" t="s">
        <v>35</v>
      </c>
      <c r="E134" t="s">
        <v>14</v>
      </c>
      <c r="F134" t="s">
        <v>20</v>
      </c>
      <c r="G134">
        <v>12</v>
      </c>
      <c r="H134">
        <v>43591</v>
      </c>
      <c r="I134">
        <v>523092</v>
      </c>
      <c r="J134" t="s">
        <v>32</v>
      </c>
      <c r="K134" t="s">
        <v>17</v>
      </c>
    </row>
    <row r="135" spans="1:11" x14ac:dyDescent="0.35">
      <c r="A135" t="s">
        <v>176</v>
      </c>
      <c r="B135" s="1">
        <v>45645</v>
      </c>
      <c r="C135" t="s">
        <v>37</v>
      </c>
      <c r="D135" t="s">
        <v>35</v>
      </c>
      <c r="E135" t="s">
        <v>30</v>
      </c>
      <c r="F135" t="s">
        <v>81</v>
      </c>
      <c r="G135">
        <v>18</v>
      </c>
      <c r="H135">
        <v>25923</v>
      </c>
      <c r="I135">
        <v>466614</v>
      </c>
      <c r="J135" t="s">
        <v>32</v>
      </c>
      <c r="K135" t="s">
        <v>22</v>
      </c>
    </row>
    <row r="136" spans="1:11" x14ac:dyDescent="0.35">
      <c r="A136" t="s">
        <v>177</v>
      </c>
      <c r="B136" s="1">
        <v>45351</v>
      </c>
      <c r="C136" t="s">
        <v>43</v>
      </c>
      <c r="D136" t="s">
        <v>35</v>
      </c>
      <c r="E136" t="s">
        <v>39</v>
      </c>
      <c r="F136" t="s">
        <v>40</v>
      </c>
      <c r="G136">
        <v>1</v>
      </c>
      <c r="H136">
        <v>35147</v>
      </c>
      <c r="I136">
        <v>35147</v>
      </c>
      <c r="J136" t="s">
        <v>27</v>
      </c>
      <c r="K136" t="s">
        <v>33</v>
      </c>
    </row>
    <row r="137" spans="1:11" x14ac:dyDescent="0.35">
      <c r="A137" t="s">
        <v>178</v>
      </c>
      <c r="B137" s="1">
        <v>45308</v>
      </c>
      <c r="C137" t="s">
        <v>29</v>
      </c>
      <c r="D137" t="s">
        <v>19</v>
      </c>
      <c r="E137" t="s">
        <v>14</v>
      </c>
      <c r="F137" t="s">
        <v>20</v>
      </c>
      <c r="G137">
        <v>18</v>
      </c>
      <c r="H137">
        <v>34263</v>
      </c>
      <c r="I137">
        <v>616734</v>
      </c>
      <c r="J137" t="s">
        <v>16</v>
      </c>
      <c r="K137" t="s">
        <v>33</v>
      </c>
    </row>
    <row r="138" spans="1:11" x14ac:dyDescent="0.35">
      <c r="A138" t="s">
        <v>179</v>
      </c>
      <c r="B138" s="1">
        <v>45571</v>
      </c>
      <c r="C138" t="s">
        <v>24</v>
      </c>
      <c r="D138" t="s">
        <v>35</v>
      </c>
      <c r="E138" t="s">
        <v>25</v>
      </c>
      <c r="F138" t="s">
        <v>48</v>
      </c>
      <c r="G138">
        <v>19</v>
      </c>
      <c r="H138">
        <v>49928</v>
      </c>
      <c r="I138">
        <v>948632</v>
      </c>
      <c r="J138" t="s">
        <v>16</v>
      </c>
      <c r="K138" t="s">
        <v>33</v>
      </c>
    </row>
    <row r="139" spans="1:11" x14ac:dyDescent="0.35">
      <c r="A139" t="s">
        <v>180</v>
      </c>
      <c r="B139" s="1">
        <v>45377</v>
      </c>
      <c r="C139" t="s">
        <v>43</v>
      </c>
      <c r="D139" t="s">
        <v>19</v>
      </c>
      <c r="E139" t="s">
        <v>14</v>
      </c>
      <c r="F139" t="s">
        <v>15</v>
      </c>
      <c r="G139">
        <v>11</v>
      </c>
      <c r="H139">
        <v>33435</v>
      </c>
      <c r="I139">
        <v>367785</v>
      </c>
      <c r="J139" t="s">
        <v>21</v>
      </c>
      <c r="K139" t="s">
        <v>33</v>
      </c>
    </row>
    <row r="140" spans="1:11" x14ac:dyDescent="0.35">
      <c r="A140" t="s">
        <v>181</v>
      </c>
      <c r="B140" s="1">
        <v>45653</v>
      </c>
      <c r="C140" t="s">
        <v>43</v>
      </c>
      <c r="D140" t="s">
        <v>19</v>
      </c>
      <c r="E140" t="s">
        <v>25</v>
      </c>
      <c r="F140" t="s">
        <v>48</v>
      </c>
      <c r="G140">
        <v>15</v>
      </c>
      <c r="H140">
        <v>44796</v>
      </c>
      <c r="I140">
        <v>671940</v>
      </c>
      <c r="J140" t="s">
        <v>27</v>
      </c>
      <c r="K140" t="s">
        <v>17</v>
      </c>
    </row>
    <row r="141" spans="1:11" x14ac:dyDescent="0.35">
      <c r="A141" t="s">
        <v>182</v>
      </c>
      <c r="B141" s="1">
        <v>45638</v>
      </c>
      <c r="C141" t="s">
        <v>24</v>
      </c>
      <c r="D141" t="s">
        <v>13</v>
      </c>
      <c r="E141" t="s">
        <v>14</v>
      </c>
      <c r="F141" t="s">
        <v>62</v>
      </c>
      <c r="G141">
        <v>12</v>
      </c>
      <c r="H141">
        <v>12507</v>
      </c>
      <c r="I141">
        <v>150084</v>
      </c>
      <c r="J141" t="s">
        <v>32</v>
      </c>
      <c r="K141" t="s">
        <v>22</v>
      </c>
    </row>
    <row r="142" spans="1:11" x14ac:dyDescent="0.35">
      <c r="A142" t="s">
        <v>183</v>
      </c>
      <c r="B142" s="1">
        <v>45339</v>
      </c>
      <c r="C142" t="s">
        <v>43</v>
      </c>
      <c r="D142" t="s">
        <v>35</v>
      </c>
      <c r="E142" t="s">
        <v>30</v>
      </c>
      <c r="F142" t="s">
        <v>44</v>
      </c>
      <c r="G142">
        <v>2</v>
      </c>
      <c r="H142">
        <v>18127</v>
      </c>
      <c r="I142">
        <v>36254</v>
      </c>
      <c r="J142" t="s">
        <v>32</v>
      </c>
      <c r="K142" t="s">
        <v>17</v>
      </c>
    </row>
    <row r="143" spans="1:11" x14ac:dyDescent="0.35">
      <c r="A143" t="s">
        <v>184</v>
      </c>
      <c r="B143" s="1">
        <v>45621</v>
      </c>
      <c r="C143" t="s">
        <v>37</v>
      </c>
      <c r="D143" t="s">
        <v>19</v>
      </c>
      <c r="E143" t="s">
        <v>30</v>
      </c>
      <c r="F143" t="s">
        <v>31</v>
      </c>
      <c r="G143">
        <v>8</v>
      </c>
      <c r="H143">
        <v>23094</v>
      </c>
      <c r="I143">
        <v>184752</v>
      </c>
      <c r="J143" t="s">
        <v>27</v>
      </c>
      <c r="K143" t="s">
        <v>17</v>
      </c>
    </row>
    <row r="144" spans="1:11" x14ac:dyDescent="0.35">
      <c r="A144" t="s">
        <v>185</v>
      </c>
      <c r="B144" s="1">
        <v>45628</v>
      </c>
      <c r="C144" t="s">
        <v>24</v>
      </c>
      <c r="D144" t="s">
        <v>13</v>
      </c>
      <c r="E144" t="s">
        <v>39</v>
      </c>
      <c r="F144" t="s">
        <v>55</v>
      </c>
      <c r="G144">
        <v>12</v>
      </c>
      <c r="H144">
        <v>6113</v>
      </c>
      <c r="I144">
        <v>73356</v>
      </c>
      <c r="J144" t="s">
        <v>16</v>
      </c>
      <c r="K144" t="s">
        <v>17</v>
      </c>
    </row>
    <row r="145" spans="1:11" x14ac:dyDescent="0.35">
      <c r="A145" t="s">
        <v>186</v>
      </c>
      <c r="B145" s="1">
        <v>45535</v>
      </c>
      <c r="C145" t="s">
        <v>12</v>
      </c>
      <c r="D145" t="s">
        <v>38</v>
      </c>
      <c r="E145" t="s">
        <v>30</v>
      </c>
      <c r="F145" t="s">
        <v>81</v>
      </c>
      <c r="G145">
        <v>4</v>
      </c>
      <c r="H145">
        <v>24015</v>
      </c>
      <c r="I145">
        <v>96060</v>
      </c>
      <c r="J145" t="s">
        <v>27</v>
      </c>
      <c r="K145" t="s">
        <v>22</v>
      </c>
    </row>
    <row r="146" spans="1:11" x14ac:dyDescent="0.35">
      <c r="A146" t="s">
        <v>187</v>
      </c>
      <c r="B146" s="1">
        <v>45395</v>
      </c>
      <c r="C146" t="s">
        <v>12</v>
      </c>
      <c r="D146" t="s">
        <v>35</v>
      </c>
      <c r="E146" t="s">
        <v>39</v>
      </c>
      <c r="F146" t="s">
        <v>55</v>
      </c>
      <c r="G146">
        <v>3</v>
      </c>
      <c r="H146">
        <v>16276</v>
      </c>
      <c r="I146">
        <v>48828</v>
      </c>
      <c r="J146" t="s">
        <v>32</v>
      </c>
      <c r="K146" t="s">
        <v>17</v>
      </c>
    </row>
    <row r="147" spans="1:11" x14ac:dyDescent="0.35">
      <c r="A147" t="s">
        <v>188</v>
      </c>
      <c r="B147" s="1">
        <v>45634</v>
      </c>
      <c r="C147" t="s">
        <v>29</v>
      </c>
      <c r="D147" t="s">
        <v>13</v>
      </c>
      <c r="E147" t="s">
        <v>25</v>
      </c>
      <c r="F147" t="s">
        <v>58</v>
      </c>
      <c r="G147">
        <v>15</v>
      </c>
      <c r="H147">
        <v>9513</v>
      </c>
      <c r="I147">
        <v>142695</v>
      </c>
      <c r="J147" t="s">
        <v>21</v>
      </c>
      <c r="K147" t="s">
        <v>17</v>
      </c>
    </row>
    <row r="148" spans="1:11" x14ac:dyDescent="0.35">
      <c r="A148" t="s">
        <v>189</v>
      </c>
      <c r="B148" s="1">
        <v>45406</v>
      </c>
      <c r="C148" t="s">
        <v>24</v>
      </c>
      <c r="D148" t="s">
        <v>38</v>
      </c>
      <c r="E148" t="s">
        <v>14</v>
      </c>
      <c r="F148" t="s">
        <v>62</v>
      </c>
      <c r="G148">
        <v>9</v>
      </c>
      <c r="H148">
        <v>2304</v>
      </c>
      <c r="I148">
        <v>20736</v>
      </c>
      <c r="J148" t="s">
        <v>21</v>
      </c>
      <c r="K148" t="s">
        <v>22</v>
      </c>
    </row>
    <row r="149" spans="1:11" x14ac:dyDescent="0.35">
      <c r="A149" t="s">
        <v>190</v>
      </c>
      <c r="B149" s="1">
        <v>45321</v>
      </c>
      <c r="C149" t="s">
        <v>12</v>
      </c>
      <c r="D149" t="s">
        <v>35</v>
      </c>
      <c r="E149" t="s">
        <v>25</v>
      </c>
      <c r="F149" t="s">
        <v>26</v>
      </c>
      <c r="G149">
        <v>15</v>
      </c>
      <c r="H149">
        <v>29467</v>
      </c>
      <c r="I149">
        <v>442005</v>
      </c>
      <c r="J149" t="s">
        <v>21</v>
      </c>
      <c r="K149" t="s">
        <v>33</v>
      </c>
    </row>
    <row r="150" spans="1:11" x14ac:dyDescent="0.35">
      <c r="A150" t="s">
        <v>191</v>
      </c>
      <c r="B150" s="1">
        <v>45461</v>
      </c>
      <c r="C150" t="s">
        <v>29</v>
      </c>
      <c r="D150" t="s">
        <v>35</v>
      </c>
      <c r="E150" t="s">
        <v>25</v>
      </c>
      <c r="F150" t="s">
        <v>58</v>
      </c>
      <c r="G150">
        <v>13</v>
      </c>
      <c r="H150">
        <v>46046</v>
      </c>
      <c r="I150">
        <v>598598</v>
      </c>
      <c r="J150" t="s">
        <v>16</v>
      </c>
      <c r="K150" t="s">
        <v>33</v>
      </c>
    </row>
    <row r="151" spans="1:11" x14ac:dyDescent="0.35">
      <c r="A151" t="s">
        <v>192</v>
      </c>
      <c r="B151" s="1">
        <v>45323</v>
      </c>
      <c r="C151" t="s">
        <v>12</v>
      </c>
      <c r="D151" t="s">
        <v>38</v>
      </c>
      <c r="E151" t="s">
        <v>14</v>
      </c>
      <c r="F151" t="s">
        <v>62</v>
      </c>
      <c r="G151">
        <v>7</v>
      </c>
      <c r="H151">
        <v>25778</v>
      </c>
      <c r="I151">
        <v>180446</v>
      </c>
      <c r="J151" t="s">
        <v>21</v>
      </c>
      <c r="K151" t="s">
        <v>17</v>
      </c>
    </row>
    <row r="152" spans="1:11" x14ac:dyDescent="0.35">
      <c r="A152" t="s">
        <v>193</v>
      </c>
      <c r="B152" s="1">
        <v>45394</v>
      </c>
      <c r="C152" t="s">
        <v>37</v>
      </c>
      <c r="D152" t="s">
        <v>38</v>
      </c>
      <c r="E152" t="s">
        <v>14</v>
      </c>
      <c r="F152" t="s">
        <v>20</v>
      </c>
      <c r="G152">
        <v>19</v>
      </c>
      <c r="H152">
        <v>23145</v>
      </c>
      <c r="I152">
        <v>439755</v>
      </c>
      <c r="J152" t="s">
        <v>16</v>
      </c>
      <c r="K152" t="s">
        <v>22</v>
      </c>
    </row>
    <row r="153" spans="1:11" x14ac:dyDescent="0.35">
      <c r="A153" t="s">
        <v>194</v>
      </c>
      <c r="B153" s="1">
        <v>45590</v>
      </c>
      <c r="C153" t="s">
        <v>37</v>
      </c>
      <c r="D153" t="s">
        <v>13</v>
      </c>
      <c r="E153" t="s">
        <v>14</v>
      </c>
      <c r="F153" t="s">
        <v>62</v>
      </c>
      <c r="G153">
        <v>12</v>
      </c>
      <c r="H153">
        <v>30227</v>
      </c>
      <c r="I153">
        <v>362724</v>
      </c>
      <c r="J153" t="s">
        <v>16</v>
      </c>
      <c r="K153" t="s">
        <v>17</v>
      </c>
    </row>
    <row r="154" spans="1:11" x14ac:dyDescent="0.35">
      <c r="A154" t="s">
        <v>195</v>
      </c>
      <c r="B154" s="1">
        <v>45307</v>
      </c>
      <c r="C154" t="s">
        <v>37</v>
      </c>
      <c r="D154" t="s">
        <v>19</v>
      </c>
      <c r="E154" t="s">
        <v>39</v>
      </c>
      <c r="F154" t="s">
        <v>65</v>
      </c>
      <c r="G154">
        <v>15</v>
      </c>
      <c r="H154">
        <v>49758</v>
      </c>
      <c r="I154">
        <v>746370</v>
      </c>
      <c r="J154" t="s">
        <v>27</v>
      </c>
      <c r="K154" t="s">
        <v>17</v>
      </c>
    </row>
    <row r="155" spans="1:11" x14ac:dyDescent="0.35">
      <c r="A155" t="s">
        <v>196</v>
      </c>
      <c r="B155" s="1">
        <v>45386</v>
      </c>
      <c r="C155" t="s">
        <v>43</v>
      </c>
      <c r="D155" t="s">
        <v>35</v>
      </c>
      <c r="E155" t="s">
        <v>25</v>
      </c>
      <c r="F155" t="s">
        <v>48</v>
      </c>
      <c r="G155">
        <v>15</v>
      </c>
      <c r="H155">
        <v>33933</v>
      </c>
      <c r="I155">
        <v>508995</v>
      </c>
      <c r="J155" t="s">
        <v>27</v>
      </c>
      <c r="K155" t="s">
        <v>17</v>
      </c>
    </row>
    <row r="156" spans="1:11" x14ac:dyDescent="0.35">
      <c r="A156" t="s">
        <v>197</v>
      </c>
      <c r="B156" s="1">
        <v>45428</v>
      </c>
      <c r="C156" t="s">
        <v>12</v>
      </c>
      <c r="D156" t="s">
        <v>19</v>
      </c>
      <c r="E156" t="s">
        <v>14</v>
      </c>
      <c r="F156" t="s">
        <v>20</v>
      </c>
      <c r="G156">
        <v>9</v>
      </c>
      <c r="H156">
        <v>11033</v>
      </c>
      <c r="I156">
        <v>99297</v>
      </c>
      <c r="J156" t="s">
        <v>32</v>
      </c>
      <c r="K156" t="s">
        <v>22</v>
      </c>
    </row>
    <row r="157" spans="1:11" x14ac:dyDescent="0.35">
      <c r="A157" t="s">
        <v>198</v>
      </c>
      <c r="B157" s="1">
        <v>45333</v>
      </c>
      <c r="C157" t="s">
        <v>43</v>
      </c>
      <c r="D157" t="s">
        <v>19</v>
      </c>
      <c r="E157" t="s">
        <v>30</v>
      </c>
      <c r="F157" t="s">
        <v>81</v>
      </c>
      <c r="G157">
        <v>17</v>
      </c>
      <c r="H157">
        <v>42745</v>
      </c>
      <c r="I157">
        <v>726665</v>
      </c>
      <c r="J157" t="s">
        <v>27</v>
      </c>
      <c r="K157" t="s">
        <v>22</v>
      </c>
    </row>
    <row r="158" spans="1:11" x14ac:dyDescent="0.35">
      <c r="A158" t="s">
        <v>199</v>
      </c>
      <c r="B158" s="1">
        <v>45452</v>
      </c>
      <c r="C158" t="s">
        <v>37</v>
      </c>
      <c r="D158" t="s">
        <v>38</v>
      </c>
      <c r="E158" t="s">
        <v>25</v>
      </c>
      <c r="F158" t="s">
        <v>26</v>
      </c>
      <c r="G158">
        <v>2</v>
      </c>
      <c r="H158">
        <v>1617</v>
      </c>
      <c r="I158">
        <v>3234</v>
      </c>
      <c r="J158" t="s">
        <v>27</v>
      </c>
      <c r="K158" t="s">
        <v>33</v>
      </c>
    </row>
    <row r="159" spans="1:11" x14ac:dyDescent="0.35">
      <c r="A159" t="s">
        <v>200</v>
      </c>
      <c r="B159" s="1">
        <v>45627</v>
      </c>
      <c r="C159" t="s">
        <v>37</v>
      </c>
      <c r="D159" t="s">
        <v>19</v>
      </c>
      <c r="E159" t="s">
        <v>30</v>
      </c>
      <c r="F159" t="s">
        <v>44</v>
      </c>
      <c r="G159">
        <v>20</v>
      </c>
      <c r="H159">
        <v>31892</v>
      </c>
      <c r="I159">
        <v>637840</v>
      </c>
      <c r="J159" t="s">
        <v>21</v>
      </c>
      <c r="K159" t="s">
        <v>17</v>
      </c>
    </row>
    <row r="160" spans="1:11" x14ac:dyDescent="0.35">
      <c r="A160" t="s">
        <v>201</v>
      </c>
      <c r="B160" s="1">
        <v>45398</v>
      </c>
      <c r="C160" t="s">
        <v>12</v>
      </c>
      <c r="D160" t="s">
        <v>19</v>
      </c>
      <c r="E160" t="s">
        <v>25</v>
      </c>
      <c r="F160" t="s">
        <v>48</v>
      </c>
      <c r="G160">
        <v>5</v>
      </c>
      <c r="H160">
        <v>19103</v>
      </c>
      <c r="I160">
        <v>95515</v>
      </c>
      <c r="J160" t="s">
        <v>21</v>
      </c>
      <c r="K160" t="s">
        <v>17</v>
      </c>
    </row>
    <row r="161" spans="1:11" x14ac:dyDescent="0.35">
      <c r="A161" t="s">
        <v>202</v>
      </c>
      <c r="B161" s="1">
        <v>45491</v>
      </c>
      <c r="C161" t="s">
        <v>43</v>
      </c>
      <c r="D161" t="s">
        <v>35</v>
      </c>
      <c r="E161" t="s">
        <v>25</v>
      </c>
      <c r="F161" t="s">
        <v>58</v>
      </c>
      <c r="G161">
        <v>6</v>
      </c>
      <c r="H161">
        <v>17637</v>
      </c>
      <c r="I161">
        <v>105822</v>
      </c>
      <c r="J161" t="s">
        <v>21</v>
      </c>
      <c r="K161" t="s">
        <v>33</v>
      </c>
    </row>
    <row r="162" spans="1:11" x14ac:dyDescent="0.35">
      <c r="A162" t="s">
        <v>203</v>
      </c>
      <c r="B162" s="1">
        <v>45315</v>
      </c>
      <c r="C162" t="s">
        <v>43</v>
      </c>
      <c r="D162" t="s">
        <v>13</v>
      </c>
      <c r="E162" t="s">
        <v>30</v>
      </c>
      <c r="F162" t="s">
        <v>44</v>
      </c>
      <c r="G162">
        <v>1</v>
      </c>
      <c r="H162">
        <v>6666</v>
      </c>
      <c r="I162">
        <v>6666</v>
      </c>
      <c r="J162" t="s">
        <v>16</v>
      </c>
      <c r="K162" t="s">
        <v>17</v>
      </c>
    </row>
    <row r="163" spans="1:11" x14ac:dyDescent="0.35">
      <c r="A163" t="s">
        <v>204</v>
      </c>
      <c r="B163" s="1">
        <v>45314</v>
      </c>
      <c r="C163" t="s">
        <v>12</v>
      </c>
      <c r="D163" t="s">
        <v>38</v>
      </c>
      <c r="E163" t="s">
        <v>39</v>
      </c>
      <c r="F163" t="s">
        <v>55</v>
      </c>
      <c r="G163">
        <v>12</v>
      </c>
      <c r="H163">
        <v>21857</v>
      </c>
      <c r="I163">
        <v>262284</v>
      </c>
      <c r="J163" t="s">
        <v>27</v>
      </c>
      <c r="K163" t="s">
        <v>22</v>
      </c>
    </row>
    <row r="164" spans="1:11" x14ac:dyDescent="0.35">
      <c r="A164" t="s">
        <v>205</v>
      </c>
      <c r="B164" s="1">
        <v>45357</v>
      </c>
      <c r="C164" t="s">
        <v>12</v>
      </c>
      <c r="D164" t="s">
        <v>19</v>
      </c>
      <c r="E164" t="s">
        <v>30</v>
      </c>
      <c r="F164" t="s">
        <v>31</v>
      </c>
      <c r="G164">
        <v>3</v>
      </c>
      <c r="H164">
        <v>20904</v>
      </c>
      <c r="I164">
        <v>62712</v>
      </c>
      <c r="J164" t="s">
        <v>21</v>
      </c>
      <c r="K164" t="s">
        <v>22</v>
      </c>
    </row>
    <row r="165" spans="1:11" x14ac:dyDescent="0.35">
      <c r="A165" t="s">
        <v>206</v>
      </c>
      <c r="B165" s="1">
        <v>45531</v>
      </c>
      <c r="C165" t="s">
        <v>29</v>
      </c>
      <c r="D165" t="s">
        <v>13</v>
      </c>
      <c r="E165" t="s">
        <v>14</v>
      </c>
      <c r="F165" t="s">
        <v>62</v>
      </c>
      <c r="G165">
        <v>13</v>
      </c>
      <c r="H165">
        <v>22727</v>
      </c>
      <c r="I165">
        <v>295451</v>
      </c>
      <c r="J165" t="s">
        <v>16</v>
      </c>
      <c r="K165" t="s">
        <v>33</v>
      </c>
    </row>
    <row r="166" spans="1:11" x14ac:dyDescent="0.35">
      <c r="A166" t="s">
        <v>207</v>
      </c>
      <c r="B166" s="1">
        <v>45407</v>
      </c>
      <c r="C166" t="s">
        <v>12</v>
      </c>
      <c r="D166" t="s">
        <v>38</v>
      </c>
      <c r="E166" t="s">
        <v>25</v>
      </c>
      <c r="F166" t="s">
        <v>58</v>
      </c>
      <c r="G166">
        <v>12</v>
      </c>
      <c r="H166">
        <v>10022</v>
      </c>
      <c r="I166">
        <v>120264</v>
      </c>
      <c r="J166" t="s">
        <v>27</v>
      </c>
      <c r="K166" t="s">
        <v>33</v>
      </c>
    </row>
    <row r="167" spans="1:11" x14ac:dyDescent="0.35">
      <c r="A167" t="s">
        <v>208</v>
      </c>
      <c r="B167" s="1">
        <v>45540</v>
      </c>
      <c r="C167" t="s">
        <v>12</v>
      </c>
      <c r="D167" t="s">
        <v>38</v>
      </c>
      <c r="E167" t="s">
        <v>39</v>
      </c>
      <c r="F167" t="s">
        <v>65</v>
      </c>
      <c r="G167">
        <v>7</v>
      </c>
      <c r="H167">
        <v>7764</v>
      </c>
      <c r="I167">
        <v>54348</v>
      </c>
      <c r="J167" t="s">
        <v>21</v>
      </c>
      <c r="K167" t="s">
        <v>33</v>
      </c>
    </row>
    <row r="168" spans="1:11" x14ac:dyDescent="0.35">
      <c r="A168" t="s">
        <v>209</v>
      </c>
      <c r="B168" s="1">
        <v>45323</v>
      </c>
      <c r="C168" t="s">
        <v>29</v>
      </c>
      <c r="D168" t="s">
        <v>35</v>
      </c>
      <c r="E168" t="s">
        <v>39</v>
      </c>
      <c r="F168" t="s">
        <v>55</v>
      </c>
      <c r="G168">
        <v>8</v>
      </c>
      <c r="H168">
        <v>12143</v>
      </c>
      <c r="I168">
        <v>97144</v>
      </c>
      <c r="J168" t="s">
        <v>27</v>
      </c>
      <c r="K168" t="s">
        <v>22</v>
      </c>
    </row>
    <row r="169" spans="1:11" x14ac:dyDescent="0.35">
      <c r="A169" t="s">
        <v>210</v>
      </c>
      <c r="B169" s="1">
        <v>45652</v>
      </c>
      <c r="C169" t="s">
        <v>12</v>
      </c>
      <c r="D169" t="s">
        <v>19</v>
      </c>
      <c r="E169" t="s">
        <v>25</v>
      </c>
      <c r="F169" t="s">
        <v>26</v>
      </c>
      <c r="G169">
        <v>4</v>
      </c>
      <c r="H169">
        <v>32455</v>
      </c>
      <c r="I169">
        <v>129820</v>
      </c>
      <c r="J169" t="s">
        <v>21</v>
      </c>
      <c r="K169" t="s">
        <v>22</v>
      </c>
    </row>
    <row r="170" spans="1:11" x14ac:dyDescent="0.35">
      <c r="A170" t="s">
        <v>211</v>
      </c>
      <c r="B170" s="1">
        <v>45447</v>
      </c>
      <c r="C170" t="s">
        <v>43</v>
      </c>
      <c r="D170" t="s">
        <v>13</v>
      </c>
      <c r="E170" t="s">
        <v>39</v>
      </c>
      <c r="F170" t="s">
        <v>65</v>
      </c>
      <c r="G170">
        <v>13</v>
      </c>
      <c r="H170">
        <v>36447</v>
      </c>
      <c r="I170">
        <v>473811</v>
      </c>
      <c r="J170" t="s">
        <v>21</v>
      </c>
      <c r="K170" t="s">
        <v>22</v>
      </c>
    </row>
    <row r="171" spans="1:11" x14ac:dyDescent="0.35">
      <c r="A171" t="s">
        <v>212</v>
      </c>
      <c r="B171" s="1">
        <v>45389</v>
      </c>
      <c r="C171" t="s">
        <v>43</v>
      </c>
      <c r="D171" t="s">
        <v>38</v>
      </c>
      <c r="E171" t="s">
        <v>39</v>
      </c>
      <c r="F171" t="s">
        <v>55</v>
      </c>
      <c r="G171">
        <v>20</v>
      </c>
      <c r="H171">
        <v>26549</v>
      </c>
      <c r="I171">
        <v>530980</v>
      </c>
      <c r="J171" t="s">
        <v>27</v>
      </c>
      <c r="K171" t="s">
        <v>33</v>
      </c>
    </row>
    <row r="172" spans="1:11" x14ac:dyDescent="0.35">
      <c r="A172" t="s">
        <v>213</v>
      </c>
      <c r="B172" s="1">
        <v>45324</v>
      </c>
      <c r="C172" t="s">
        <v>12</v>
      </c>
      <c r="D172" t="s">
        <v>19</v>
      </c>
      <c r="E172" t="s">
        <v>39</v>
      </c>
      <c r="F172" t="s">
        <v>40</v>
      </c>
      <c r="G172">
        <v>18</v>
      </c>
      <c r="H172">
        <v>39105</v>
      </c>
      <c r="I172">
        <v>703890</v>
      </c>
      <c r="J172" t="s">
        <v>27</v>
      </c>
      <c r="K172" t="s">
        <v>22</v>
      </c>
    </row>
    <row r="173" spans="1:11" x14ac:dyDescent="0.35">
      <c r="A173" t="s">
        <v>214</v>
      </c>
      <c r="B173" s="1">
        <v>45657</v>
      </c>
      <c r="C173" t="s">
        <v>37</v>
      </c>
      <c r="D173" t="s">
        <v>38</v>
      </c>
      <c r="E173" t="s">
        <v>25</v>
      </c>
      <c r="F173" t="s">
        <v>26</v>
      </c>
      <c r="G173">
        <v>10</v>
      </c>
      <c r="H173">
        <v>43572</v>
      </c>
      <c r="I173">
        <v>435720</v>
      </c>
      <c r="J173" t="s">
        <v>16</v>
      </c>
      <c r="K173" t="s">
        <v>17</v>
      </c>
    </row>
    <row r="174" spans="1:11" x14ac:dyDescent="0.35">
      <c r="A174" t="s">
        <v>215</v>
      </c>
      <c r="B174" s="1">
        <v>45323</v>
      </c>
      <c r="C174" t="s">
        <v>12</v>
      </c>
      <c r="D174" t="s">
        <v>13</v>
      </c>
      <c r="E174" t="s">
        <v>14</v>
      </c>
      <c r="F174" t="s">
        <v>20</v>
      </c>
      <c r="G174">
        <v>9</v>
      </c>
      <c r="H174">
        <v>43270</v>
      </c>
      <c r="I174">
        <v>389430</v>
      </c>
      <c r="J174" t="s">
        <v>32</v>
      </c>
      <c r="K174" t="s">
        <v>17</v>
      </c>
    </row>
    <row r="175" spans="1:11" x14ac:dyDescent="0.35">
      <c r="A175" t="s">
        <v>216</v>
      </c>
      <c r="B175" s="1">
        <v>45339</v>
      </c>
      <c r="C175" t="s">
        <v>37</v>
      </c>
      <c r="D175" t="s">
        <v>35</v>
      </c>
      <c r="E175" t="s">
        <v>14</v>
      </c>
      <c r="F175" t="s">
        <v>20</v>
      </c>
      <c r="G175">
        <v>11</v>
      </c>
      <c r="H175">
        <v>35455</v>
      </c>
      <c r="I175">
        <v>390005</v>
      </c>
      <c r="J175" t="s">
        <v>16</v>
      </c>
      <c r="K175" t="s">
        <v>33</v>
      </c>
    </row>
    <row r="176" spans="1:11" x14ac:dyDescent="0.35">
      <c r="A176" t="s">
        <v>217</v>
      </c>
      <c r="B176" s="1">
        <v>45508</v>
      </c>
      <c r="C176" t="s">
        <v>43</v>
      </c>
      <c r="D176" t="s">
        <v>38</v>
      </c>
      <c r="E176" t="s">
        <v>39</v>
      </c>
      <c r="F176" t="s">
        <v>40</v>
      </c>
      <c r="G176">
        <v>5</v>
      </c>
      <c r="H176">
        <v>13193</v>
      </c>
      <c r="I176">
        <v>65965</v>
      </c>
      <c r="J176" t="s">
        <v>21</v>
      </c>
      <c r="K176" t="s">
        <v>17</v>
      </c>
    </row>
    <row r="177" spans="1:11" x14ac:dyDescent="0.35">
      <c r="A177" t="s">
        <v>218</v>
      </c>
      <c r="B177" s="1">
        <v>45316</v>
      </c>
      <c r="C177" t="s">
        <v>29</v>
      </c>
      <c r="D177" t="s">
        <v>35</v>
      </c>
      <c r="E177" t="s">
        <v>30</v>
      </c>
      <c r="F177" t="s">
        <v>44</v>
      </c>
      <c r="G177">
        <v>9</v>
      </c>
      <c r="H177">
        <v>42576</v>
      </c>
      <c r="I177">
        <v>383184</v>
      </c>
      <c r="J177" t="s">
        <v>32</v>
      </c>
      <c r="K177" t="s">
        <v>17</v>
      </c>
    </row>
    <row r="178" spans="1:11" x14ac:dyDescent="0.35">
      <c r="A178" t="s">
        <v>219</v>
      </c>
      <c r="B178" s="1">
        <v>45619</v>
      </c>
      <c r="C178" t="s">
        <v>29</v>
      </c>
      <c r="D178" t="s">
        <v>13</v>
      </c>
      <c r="E178" t="s">
        <v>14</v>
      </c>
      <c r="F178" t="s">
        <v>15</v>
      </c>
      <c r="G178">
        <v>5</v>
      </c>
      <c r="H178">
        <v>9299</v>
      </c>
      <c r="I178">
        <v>46495</v>
      </c>
      <c r="J178" t="s">
        <v>32</v>
      </c>
      <c r="K178" t="s">
        <v>33</v>
      </c>
    </row>
    <row r="179" spans="1:11" x14ac:dyDescent="0.35">
      <c r="A179" t="s">
        <v>220</v>
      </c>
      <c r="B179" s="1">
        <v>45454</v>
      </c>
      <c r="C179" t="s">
        <v>43</v>
      </c>
      <c r="D179" t="s">
        <v>13</v>
      </c>
      <c r="E179" t="s">
        <v>25</v>
      </c>
      <c r="F179" t="s">
        <v>58</v>
      </c>
      <c r="G179">
        <v>14</v>
      </c>
      <c r="H179">
        <v>41649</v>
      </c>
      <c r="I179">
        <v>583086</v>
      </c>
      <c r="J179" t="s">
        <v>16</v>
      </c>
      <c r="K179" t="s">
        <v>33</v>
      </c>
    </row>
    <row r="180" spans="1:11" x14ac:dyDescent="0.35">
      <c r="A180" t="s">
        <v>221</v>
      </c>
      <c r="B180" s="1">
        <v>45624</v>
      </c>
      <c r="C180" t="s">
        <v>12</v>
      </c>
      <c r="D180" t="s">
        <v>35</v>
      </c>
      <c r="E180" t="s">
        <v>14</v>
      </c>
      <c r="F180" t="s">
        <v>62</v>
      </c>
      <c r="G180">
        <v>11</v>
      </c>
      <c r="H180">
        <v>46432</v>
      </c>
      <c r="I180">
        <v>510752</v>
      </c>
      <c r="J180" t="s">
        <v>21</v>
      </c>
      <c r="K180" t="s">
        <v>33</v>
      </c>
    </row>
    <row r="181" spans="1:11" x14ac:dyDescent="0.35">
      <c r="A181" t="s">
        <v>222</v>
      </c>
      <c r="B181" s="1">
        <v>45633</v>
      </c>
      <c r="C181" t="s">
        <v>24</v>
      </c>
      <c r="D181" t="s">
        <v>35</v>
      </c>
      <c r="E181" t="s">
        <v>14</v>
      </c>
      <c r="F181" t="s">
        <v>20</v>
      </c>
      <c r="G181">
        <v>17</v>
      </c>
      <c r="H181">
        <v>43628</v>
      </c>
      <c r="I181">
        <v>741676</v>
      </c>
      <c r="J181" t="s">
        <v>32</v>
      </c>
      <c r="K181" t="s">
        <v>22</v>
      </c>
    </row>
    <row r="182" spans="1:11" x14ac:dyDescent="0.35">
      <c r="A182" t="s">
        <v>223</v>
      </c>
      <c r="B182" s="1">
        <v>45562</v>
      </c>
      <c r="C182" t="s">
        <v>37</v>
      </c>
      <c r="D182" t="s">
        <v>19</v>
      </c>
      <c r="E182" t="s">
        <v>39</v>
      </c>
      <c r="F182" t="s">
        <v>65</v>
      </c>
      <c r="G182">
        <v>15</v>
      </c>
      <c r="H182">
        <v>30163</v>
      </c>
      <c r="I182">
        <v>452445</v>
      </c>
      <c r="J182" t="s">
        <v>27</v>
      </c>
      <c r="K182" t="s">
        <v>22</v>
      </c>
    </row>
    <row r="183" spans="1:11" x14ac:dyDescent="0.35">
      <c r="A183" t="s">
        <v>224</v>
      </c>
      <c r="B183" s="1">
        <v>45326</v>
      </c>
      <c r="C183" t="s">
        <v>37</v>
      </c>
      <c r="D183" t="s">
        <v>35</v>
      </c>
      <c r="E183" t="s">
        <v>39</v>
      </c>
      <c r="F183" t="s">
        <v>65</v>
      </c>
      <c r="G183">
        <v>19</v>
      </c>
      <c r="H183">
        <v>26783</v>
      </c>
      <c r="I183">
        <v>508877</v>
      </c>
      <c r="J183" t="s">
        <v>21</v>
      </c>
      <c r="K183" t="s">
        <v>22</v>
      </c>
    </row>
    <row r="184" spans="1:11" x14ac:dyDescent="0.35">
      <c r="A184" t="s">
        <v>225</v>
      </c>
      <c r="B184" s="1">
        <v>45493</v>
      </c>
      <c r="C184" t="s">
        <v>12</v>
      </c>
      <c r="D184" t="s">
        <v>35</v>
      </c>
      <c r="E184" t="s">
        <v>39</v>
      </c>
      <c r="F184" t="s">
        <v>65</v>
      </c>
      <c r="G184">
        <v>18</v>
      </c>
      <c r="H184">
        <v>42737</v>
      </c>
      <c r="I184">
        <v>769266</v>
      </c>
      <c r="J184" t="s">
        <v>27</v>
      </c>
      <c r="K184" t="s">
        <v>33</v>
      </c>
    </row>
    <row r="185" spans="1:11" x14ac:dyDescent="0.35">
      <c r="A185" t="s">
        <v>226</v>
      </c>
      <c r="B185" s="1">
        <v>45347</v>
      </c>
      <c r="C185" t="s">
        <v>12</v>
      </c>
      <c r="D185" t="s">
        <v>38</v>
      </c>
      <c r="E185" t="s">
        <v>30</v>
      </c>
      <c r="F185" t="s">
        <v>31</v>
      </c>
      <c r="G185">
        <v>15</v>
      </c>
      <c r="H185">
        <v>43779</v>
      </c>
      <c r="I185">
        <v>656685</v>
      </c>
      <c r="J185" t="s">
        <v>32</v>
      </c>
      <c r="K185" t="s">
        <v>33</v>
      </c>
    </row>
    <row r="186" spans="1:11" x14ac:dyDescent="0.35">
      <c r="A186" t="s">
        <v>227</v>
      </c>
      <c r="B186" s="1">
        <v>45484</v>
      </c>
      <c r="C186" t="s">
        <v>43</v>
      </c>
      <c r="D186" t="s">
        <v>19</v>
      </c>
      <c r="E186" t="s">
        <v>39</v>
      </c>
      <c r="F186" t="s">
        <v>65</v>
      </c>
      <c r="G186">
        <v>16</v>
      </c>
      <c r="H186">
        <v>29655</v>
      </c>
      <c r="I186">
        <v>474480</v>
      </c>
      <c r="J186" t="s">
        <v>27</v>
      </c>
      <c r="K186" t="s">
        <v>22</v>
      </c>
    </row>
    <row r="187" spans="1:11" x14ac:dyDescent="0.35">
      <c r="A187" t="s">
        <v>228</v>
      </c>
      <c r="B187" s="1">
        <v>45409</v>
      </c>
      <c r="C187" t="s">
        <v>29</v>
      </c>
      <c r="D187" t="s">
        <v>38</v>
      </c>
      <c r="E187" t="s">
        <v>39</v>
      </c>
      <c r="F187" t="s">
        <v>40</v>
      </c>
      <c r="G187">
        <v>12</v>
      </c>
      <c r="H187">
        <v>24230</v>
      </c>
      <c r="I187">
        <v>290760</v>
      </c>
      <c r="J187" t="s">
        <v>16</v>
      </c>
      <c r="K187" t="s">
        <v>17</v>
      </c>
    </row>
    <row r="188" spans="1:11" x14ac:dyDescent="0.35">
      <c r="A188" t="s">
        <v>229</v>
      </c>
      <c r="B188" s="1">
        <v>45427</v>
      </c>
      <c r="C188" t="s">
        <v>12</v>
      </c>
      <c r="D188" t="s">
        <v>38</v>
      </c>
      <c r="E188" t="s">
        <v>25</v>
      </c>
      <c r="F188" t="s">
        <v>26</v>
      </c>
      <c r="G188">
        <v>20</v>
      </c>
      <c r="H188">
        <v>7784</v>
      </c>
      <c r="I188">
        <v>155680</v>
      </c>
      <c r="J188" t="s">
        <v>16</v>
      </c>
      <c r="K188" t="s">
        <v>17</v>
      </c>
    </row>
    <row r="189" spans="1:11" x14ac:dyDescent="0.35">
      <c r="A189" t="s">
        <v>230</v>
      </c>
      <c r="B189" s="1">
        <v>45309</v>
      </c>
      <c r="C189" t="s">
        <v>24</v>
      </c>
      <c r="D189" t="s">
        <v>35</v>
      </c>
      <c r="E189" t="s">
        <v>39</v>
      </c>
      <c r="F189" t="s">
        <v>40</v>
      </c>
      <c r="G189">
        <v>16</v>
      </c>
      <c r="H189">
        <v>29790</v>
      </c>
      <c r="I189">
        <v>476640</v>
      </c>
      <c r="J189" t="s">
        <v>21</v>
      </c>
      <c r="K189" t="s">
        <v>17</v>
      </c>
    </row>
    <row r="190" spans="1:11" x14ac:dyDescent="0.35">
      <c r="A190" t="s">
        <v>231</v>
      </c>
      <c r="B190" s="1">
        <v>45589</v>
      </c>
      <c r="C190" t="s">
        <v>43</v>
      </c>
      <c r="D190" t="s">
        <v>13</v>
      </c>
      <c r="E190" t="s">
        <v>30</v>
      </c>
      <c r="F190" t="s">
        <v>44</v>
      </c>
      <c r="G190">
        <v>12</v>
      </c>
      <c r="H190">
        <v>30480</v>
      </c>
      <c r="I190">
        <v>365760</v>
      </c>
      <c r="J190" t="s">
        <v>32</v>
      </c>
      <c r="K190" t="s">
        <v>17</v>
      </c>
    </row>
    <row r="191" spans="1:11" x14ac:dyDescent="0.35">
      <c r="A191" t="s">
        <v>232</v>
      </c>
      <c r="B191" s="1">
        <v>45373</v>
      </c>
      <c r="C191" t="s">
        <v>43</v>
      </c>
      <c r="D191" t="s">
        <v>13</v>
      </c>
      <c r="E191" t="s">
        <v>25</v>
      </c>
      <c r="F191" t="s">
        <v>58</v>
      </c>
      <c r="G191">
        <v>3</v>
      </c>
      <c r="H191">
        <v>48333</v>
      </c>
      <c r="I191">
        <v>144999</v>
      </c>
      <c r="J191" t="s">
        <v>16</v>
      </c>
      <c r="K191" t="s">
        <v>17</v>
      </c>
    </row>
    <row r="192" spans="1:11" x14ac:dyDescent="0.35">
      <c r="A192" t="s">
        <v>233</v>
      </c>
      <c r="B192" s="1">
        <v>45442</v>
      </c>
      <c r="C192" t="s">
        <v>24</v>
      </c>
      <c r="D192" t="s">
        <v>38</v>
      </c>
      <c r="E192" t="s">
        <v>25</v>
      </c>
      <c r="F192" t="s">
        <v>48</v>
      </c>
      <c r="G192">
        <v>13</v>
      </c>
      <c r="H192">
        <v>36932</v>
      </c>
      <c r="I192">
        <v>480116</v>
      </c>
      <c r="J192" t="s">
        <v>16</v>
      </c>
      <c r="K192" t="s">
        <v>33</v>
      </c>
    </row>
    <row r="193" spans="1:11" x14ac:dyDescent="0.35">
      <c r="A193" t="s">
        <v>234</v>
      </c>
      <c r="B193" s="1">
        <v>45545</v>
      </c>
      <c r="C193" t="s">
        <v>24</v>
      </c>
      <c r="D193" t="s">
        <v>19</v>
      </c>
      <c r="E193" t="s">
        <v>39</v>
      </c>
      <c r="F193" t="s">
        <v>40</v>
      </c>
      <c r="G193">
        <v>14</v>
      </c>
      <c r="H193">
        <v>48528</v>
      </c>
      <c r="I193">
        <v>679392</v>
      </c>
      <c r="J193" t="s">
        <v>21</v>
      </c>
      <c r="K193" t="s">
        <v>17</v>
      </c>
    </row>
    <row r="194" spans="1:11" x14ac:dyDescent="0.35">
      <c r="A194" t="s">
        <v>235</v>
      </c>
      <c r="B194" s="1">
        <v>45598</v>
      </c>
      <c r="C194" t="s">
        <v>29</v>
      </c>
      <c r="D194" t="s">
        <v>13</v>
      </c>
      <c r="E194" t="s">
        <v>30</v>
      </c>
      <c r="F194" t="s">
        <v>31</v>
      </c>
      <c r="G194">
        <v>4</v>
      </c>
      <c r="H194">
        <v>43442</v>
      </c>
      <c r="I194">
        <v>173768</v>
      </c>
      <c r="J194" t="s">
        <v>27</v>
      </c>
      <c r="K194" t="s">
        <v>17</v>
      </c>
    </row>
    <row r="195" spans="1:11" x14ac:dyDescent="0.35">
      <c r="A195" t="s">
        <v>236</v>
      </c>
      <c r="B195" s="1">
        <v>45575</v>
      </c>
      <c r="C195" t="s">
        <v>12</v>
      </c>
      <c r="D195" t="s">
        <v>19</v>
      </c>
      <c r="E195" t="s">
        <v>25</v>
      </c>
      <c r="F195" t="s">
        <v>48</v>
      </c>
      <c r="G195">
        <v>12</v>
      </c>
      <c r="H195">
        <v>25575</v>
      </c>
      <c r="I195">
        <v>306900</v>
      </c>
      <c r="J195" t="s">
        <v>16</v>
      </c>
      <c r="K195" t="s">
        <v>22</v>
      </c>
    </row>
    <row r="196" spans="1:11" x14ac:dyDescent="0.35">
      <c r="A196" t="s">
        <v>237</v>
      </c>
      <c r="B196" s="1">
        <v>45579</v>
      </c>
      <c r="C196" t="s">
        <v>37</v>
      </c>
      <c r="D196" t="s">
        <v>38</v>
      </c>
      <c r="E196" t="s">
        <v>39</v>
      </c>
      <c r="F196" t="s">
        <v>65</v>
      </c>
      <c r="G196">
        <v>7</v>
      </c>
      <c r="H196">
        <v>8544</v>
      </c>
      <c r="I196">
        <v>59808</v>
      </c>
      <c r="J196" t="s">
        <v>32</v>
      </c>
      <c r="K196" t="s">
        <v>22</v>
      </c>
    </row>
    <row r="197" spans="1:11" x14ac:dyDescent="0.35">
      <c r="A197" t="s">
        <v>238</v>
      </c>
      <c r="B197" s="1">
        <v>45461</v>
      </c>
      <c r="C197" t="s">
        <v>37</v>
      </c>
      <c r="D197" t="s">
        <v>19</v>
      </c>
      <c r="E197" t="s">
        <v>25</v>
      </c>
      <c r="F197" t="s">
        <v>26</v>
      </c>
      <c r="G197">
        <v>18</v>
      </c>
      <c r="H197">
        <v>45030</v>
      </c>
      <c r="I197">
        <v>810540</v>
      </c>
      <c r="J197" t="s">
        <v>27</v>
      </c>
      <c r="K197" t="s">
        <v>33</v>
      </c>
    </row>
    <row r="198" spans="1:11" x14ac:dyDescent="0.35">
      <c r="A198" t="s">
        <v>239</v>
      </c>
      <c r="B198" s="1">
        <v>45391</v>
      </c>
      <c r="C198" t="s">
        <v>12</v>
      </c>
      <c r="D198" t="s">
        <v>38</v>
      </c>
      <c r="E198" t="s">
        <v>39</v>
      </c>
      <c r="F198" t="s">
        <v>65</v>
      </c>
      <c r="G198">
        <v>7</v>
      </c>
      <c r="H198">
        <v>25276</v>
      </c>
      <c r="I198">
        <v>176932</v>
      </c>
      <c r="J198" t="s">
        <v>27</v>
      </c>
      <c r="K198" t="s">
        <v>17</v>
      </c>
    </row>
    <row r="199" spans="1:11" x14ac:dyDescent="0.35">
      <c r="A199" t="s">
        <v>240</v>
      </c>
      <c r="B199" s="1">
        <v>45444</v>
      </c>
      <c r="C199" t="s">
        <v>24</v>
      </c>
      <c r="D199" t="s">
        <v>19</v>
      </c>
      <c r="E199" t="s">
        <v>30</v>
      </c>
      <c r="F199" t="s">
        <v>44</v>
      </c>
      <c r="G199">
        <v>13</v>
      </c>
      <c r="H199">
        <v>42369</v>
      </c>
      <c r="I199">
        <v>550797</v>
      </c>
      <c r="J199" t="s">
        <v>16</v>
      </c>
      <c r="K199" t="s">
        <v>22</v>
      </c>
    </row>
    <row r="200" spans="1:11" x14ac:dyDescent="0.35">
      <c r="A200" t="s">
        <v>241</v>
      </c>
      <c r="B200" s="1">
        <v>45458</v>
      </c>
      <c r="C200" t="s">
        <v>43</v>
      </c>
      <c r="D200" t="s">
        <v>13</v>
      </c>
      <c r="E200" t="s">
        <v>39</v>
      </c>
      <c r="F200" t="s">
        <v>55</v>
      </c>
      <c r="G200">
        <v>9</v>
      </c>
      <c r="H200">
        <v>48566</v>
      </c>
      <c r="I200">
        <v>437094</v>
      </c>
      <c r="J200" t="s">
        <v>16</v>
      </c>
      <c r="K200" t="s">
        <v>33</v>
      </c>
    </row>
    <row r="201" spans="1:11" x14ac:dyDescent="0.35">
      <c r="A201" t="s">
        <v>242</v>
      </c>
      <c r="B201" s="1">
        <v>45383</v>
      </c>
      <c r="C201" t="s">
        <v>37</v>
      </c>
      <c r="D201" t="s">
        <v>38</v>
      </c>
      <c r="E201" t="s">
        <v>14</v>
      </c>
      <c r="F201" t="s">
        <v>62</v>
      </c>
      <c r="G201">
        <v>3</v>
      </c>
      <c r="H201">
        <v>16534</v>
      </c>
      <c r="I201">
        <v>49602</v>
      </c>
      <c r="J201" t="s">
        <v>16</v>
      </c>
      <c r="K201" t="s">
        <v>17</v>
      </c>
    </row>
    <row r="202" spans="1:11" x14ac:dyDescent="0.35">
      <c r="A202" t="s">
        <v>243</v>
      </c>
      <c r="B202" s="1">
        <v>45581</v>
      </c>
      <c r="C202" t="s">
        <v>29</v>
      </c>
      <c r="D202" t="s">
        <v>38</v>
      </c>
      <c r="E202" t="s">
        <v>39</v>
      </c>
      <c r="F202" t="s">
        <v>40</v>
      </c>
      <c r="G202">
        <v>16</v>
      </c>
      <c r="H202">
        <v>37063</v>
      </c>
      <c r="I202">
        <v>593008</v>
      </c>
      <c r="J202" t="s">
        <v>32</v>
      </c>
      <c r="K202" t="s">
        <v>17</v>
      </c>
    </row>
    <row r="203" spans="1:11" x14ac:dyDescent="0.35">
      <c r="A203" t="s">
        <v>244</v>
      </c>
      <c r="B203" s="1">
        <v>45444</v>
      </c>
      <c r="C203" t="s">
        <v>24</v>
      </c>
      <c r="D203" t="s">
        <v>38</v>
      </c>
      <c r="E203" t="s">
        <v>39</v>
      </c>
      <c r="F203" t="s">
        <v>65</v>
      </c>
      <c r="G203">
        <v>8</v>
      </c>
      <c r="H203">
        <v>18155</v>
      </c>
      <c r="I203">
        <v>145240</v>
      </c>
      <c r="J203" t="s">
        <v>32</v>
      </c>
      <c r="K203" t="s">
        <v>17</v>
      </c>
    </row>
    <row r="204" spans="1:11" x14ac:dyDescent="0.35">
      <c r="A204" t="s">
        <v>245</v>
      </c>
      <c r="B204" s="1">
        <v>45589</v>
      </c>
      <c r="C204" t="s">
        <v>29</v>
      </c>
      <c r="D204" t="s">
        <v>13</v>
      </c>
      <c r="E204" t="s">
        <v>39</v>
      </c>
      <c r="F204" t="s">
        <v>55</v>
      </c>
      <c r="G204">
        <v>20</v>
      </c>
      <c r="H204">
        <v>38638</v>
      </c>
      <c r="I204">
        <v>772760</v>
      </c>
      <c r="J204" t="s">
        <v>27</v>
      </c>
      <c r="K204" t="s">
        <v>33</v>
      </c>
    </row>
    <row r="205" spans="1:11" x14ac:dyDescent="0.35">
      <c r="A205" t="s">
        <v>246</v>
      </c>
      <c r="B205" s="1">
        <v>45539</v>
      </c>
      <c r="C205" t="s">
        <v>37</v>
      </c>
      <c r="D205" t="s">
        <v>13</v>
      </c>
      <c r="E205" t="s">
        <v>25</v>
      </c>
      <c r="F205" t="s">
        <v>48</v>
      </c>
      <c r="G205">
        <v>3</v>
      </c>
      <c r="H205">
        <v>21396</v>
      </c>
      <c r="I205">
        <v>64188</v>
      </c>
      <c r="J205" t="s">
        <v>32</v>
      </c>
      <c r="K205" t="s">
        <v>17</v>
      </c>
    </row>
    <row r="206" spans="1:11" x14ac:dyDescent="0.35">
      <c r="A206" t="s">
        <v>247</v>
      </c>
      <c r="B206" s="1">
        <v>45641</v>
      </c>
      <c r="C206" t="s">
        <v>24</v>
      </c>
      <c r="D206" t="s">
        <v>19</v>
      </c>
      <c r="E206" t="s">
        <v>14</v>
      </c>
      <c r="F206" t="s">
        <v>15</v>
      </c>
      <c r="G206">
        <v>11</v>
      </c>
      <c r="H206">
        <v>40417</v>
      </c>
      <c r="I206">
        <v>444587</v>
      </c>
      <c r="J206" t="s">
        <v>32</v>
      </c>
      <c r="K206" t="s">
        <v>17</v>
      </c>
    </row>
    <row r="207" spans="1:11" x14ac:dyDescent="0.35">
      <c r="A207" t="s">
        <v>248</v>
      </c>
      <c r="B207" s="1">
        <v>45318</v>
      </c>
      <c r="C207" t="s">
        <v>37</v>
      </c>
      <c r="D207" t="s">
        <v>38</v>
      </c>
      <c r="E207" t="s">
        <v>25</v>
      </c>
      <c r="F207" t="s">
        <v>48</v>
      </c>
      <c r="G207">
        <v>1</v>
      </c>
      <c r="H207">
        <v>46579</v>
      </c>
      <c r="I207">
        <v>46579</v>
      </c>
      <c r="J207" t="s">
        <v>21</v>
      </c>
      <c r="K207" t="s">
        <v>33</v>
      </c>
    </row>
    <row r="208" spans="1:11" x14ac:dyDescent="0.35">
      <c r="A208" t="s">
        <v>249</v>
      </c>
      <c r="B208" s="1">
        <v>45632</v>
      </c>
      <c r="C208" t="s">
        <v>29</v>
      </c>
      <c r="D208" t="s">
        <v>38</v>
      </c>
      <c r="E208" t="s">
        <v>25</v>
      </c>
      <c r="F208" t="s">
        <v>48</v>
      </c>
      <c r="G208">
        <v>12</v>
      </c>
      <c r="H208">
        <v>3647</v>
      </c>
      <c r="I208">
        <v>43764</v>
      </c>
      <c r="J208" t="s">
        <v>21</v>
      </c>
      <c r="K208" t="s">
        <v>33</v>
      </c>
    </row>
    <row r="209" spans="1:11" x14ac:dyDescent="0.35">
      <c r="A209" t="s">
        <v>250</v>
      </c>
      <c r="B209" s="1">
        <v>45626</v>
      </c>
      <c r="C209" t="s">
        <v>24</v>
      </c>
      <c r="D209" t="s">
        <v>13</v>
      </c>
      <c r="E209" t="s">
        <v>25</v>
      </c>
      <c r="F209" t="s">
        <v>48</v>
      </c>
      <c r="G209">
        <v>14</v>
      </c>
      <c r="H209">
        <v>38782</v>
      </c>
      <c r="I209">
        <v>542948</v>
      </c>
      <c r="J209" t="s">
        <v>21</v>
      </c>
      <c r="K209" t="s">
        <v>22</v>
      </c>
    </row>
    <row r="210" spans="1:11" x14ac:dyDescent="0.35">
      <c r="A210" t="s">
        <v>251</v>
      </c>
      <c r="B210" s="1">
        <v>45368</v>
      </c>
      <c r="C210" t="s">
        <v>24</v>
      </c>
      <c r="D210" t="s">
        <v>38</v>
      </c>
      <c r="E210" t="s">
        <v>14</v>
      </c>
      <c r="F210" t="s">
        <v>15</v>
      </c>
      <c r="G210">
        <v>2</v>
      </c>
      <c r="H210">
        <v>20918</v>
      </c>
      <c r="I210">
        <v>41836</v>
      </c>
      <c r="J210" t="s">
        <v>32</v>
      </c>
      <c r="K210" t="s">
        <v>17</v>
      </c>
    </row>
    <row r="211" spans="1:11" x14ac:dyDescent="0.35">
      <c r="A211" t="s">
        <v>252</v>
      </c>
      <c r="B211" s="1">
        <v>45449</v>
      </c>
      <c r="C211" t="s">
        <v>12</v>
      </c>
      <c r="D211" t="s">
        <v>13</v>
      </c>
      <c r="E211" t="s">
        <v>14</v>
      </c>
      <c r="F211" t="s">
        <v>62</v>
      </c>
      <c r="G211">
        <v>3</v>
      </c>
      <c r="H211">
        <v>15611</v>
      </c>
      <c r="I211">
        <v>46833</v>
      </c>
      <c r="J211" t="s">
        <v>21</v>
      </c>
      <c r="K211" t="s">
        <v>33</v>
      </c>
    </row>
    <row r="212" spans="1:11" x14ac:dyDescent="0.35">
      <c r="A212" t="s">
        <v>253</v>
      </c>
      <c r="B212" s="1">
        <v>45378</v>
      </c>
      <c r="C212" t="s">
        <v>12</v>
      </c>
      <c r="D212" t="s">
        <v>19</v>
      </c>
      <c r="E212" t="s">
        <v>25</v>
      </c>
      <c r="F212" t="s">
        <v>58</v>
      </c>
      <c r="G212">
        <v>4</v>
      </c>
      <c r="H212">
        <v>27233</v>
      </c>
      <c r="I212">
        <v>108932</v>
      </c>
      <c r="J212" t="s">
        <v>16</v>
      </c>
      <c r="K212" t="s">
        <v>22</v>
      </c>
    </row>
    <row r="213" spans="1:11" x14ac:dyDescent="0.35">
      <c r="A213" t="s">
        <v>254</v>
      </c>
      <c r="B213" s="1">
        <v>45455</v>
      </c>
      <c r="C213" t="s">
        <v>43</v>
      </c>
      <c r="D213" t="s">
        <v>13</v>
      </c>
      <c r="E213" t="s">
        <v>39</v>
      </c>
      <c r="F213" t="s">
        <v>40</v>
      </c>
      <c r="G213">
        <v>6</v>
      </c>
      <c r="H213">
        <v>33182</v>
      </c>
      <c r="I213">
        <v>199092</v>
      </c>
      <c r="J213" t="s">
        <v>21</v>
      </c>
      <c r="K213" t="s">
        <v>17</v>
      </c>
    </row>
    <row r="214" spans="1:11" x14ac:dyDescent="0.35">
      <c r="A214" t="s">
        <v>255</v>
      </c>
      <c r="B214" s="1">
        <v>45517</v>
      </c>
      <c r="C214" t="s">
        <v>37</v>
      </c>
      <c r="D214" t="s">
        <v>38</v>
      </c>
      <c r="E214" t="s">
        <v>14</v>
      </c>
      <c r="F214" t="s">
        <v>62</v>
      </c>
      <c r="G214">
        <v>4</v>
      </c>
      <c r="H214">
        <v>18821</v>
      </c>
      <c r="I214">
        <v>75284</v>
      </c>
      <c r="J214" t="s">
        <v>32</v>
      </c>
      <c r="K214" t="s">
        <v>22</v>
      </c>
    </row>
    <row r="215" spans="1:11" x14ac:dyDescent="0.35">
      <c r="A215" t="s">
        <v>256</v>
      </c>
      <c r="B215" s="1">
        <v>45300</v>
      </c>
      <c r="C215" t="s">
        <v>24</v>
      </c>
      <c r="D215" t="s">
        <v>19</v>
      </c>
      <c r="E215" t="s">
        <v>25</v>
      </c>
      <c r="F215" t="s">
        <v>26</v>
      </c>
      <c r="G215">
        <v>1</v>
      </c>
      <c r="H215">
        <v>17911</v>
      </c>
      <c r="I215">
        <v>17911</v>
      </c>
      <c r="J215" t="s">
        <v>32</v>
      </c>
      <c r="K215" t="s">
        <v>22</v>
      </c>
    </row>
    <row r="216" spans="1:11" x14ac:dyDescent="0.35">
      <c r="A216" t="s">
        <v>257</v>
      </c>
      <c r="B216" s="1">
        <v>45353</v>
      </c>
      <c r="C216" t="s">
        <v>29</v>
      </c>
      <c r="D216" t="s">
        <v>38</v>
      </c>
      <c r="E216" t="s">
        <v>25</v>
      </c>
      <c r="F216" t="s">
        <v>58</v>
      </c>
      <c r="G216">
        <v>5</v>
      </c>
      <c r="H216">
        <v>3805</v>
      </c>
      <c r="I216">
        <v>19025</v>
      </c>
      <c r="J216" t="s">
        <v>21</v>
      </c>
      <c r="K216" t="s">
        <v>22</v>
      </c>
    </row>
    <row r="217" spans="1:11" x14ac:dyDescent="0.35">
      <c r="A217" t="s">
        <v>258</v>
      </c>
      <c r="B217" s="1">
        <v>45464</v>
      </c>
      <c r="C217" t="s">
        <v>37</v>
      </c>
      <c r="D217" t="s">
        <v>13</v>
      </c>
      <c r="E217" t="s">
        <v>14</v>
      </c>
      <c r="F217" t="s">
        <v>20</v>
      </c>
      <c r="G217">
        <v>1</v>
      </c>
      <c r="H217">
        <v>45410</v>
      </c>
      <c r="I217">
        <v>45410</v>
      </c>
      <c r="J217" t="s">
        <v>21</v>
      </c>
      <c r="K217" t="s">
        <v>22</v>
      </c>
    </row>
    <row r="218" spans="1:11" x14ac:dyDescent="0.35">
      <c r="A218" t="s">
        <v>259</v>
      </c>
      <c r="B218" s="1">
        <v>45358</v>
      </c>
      <c r="C218" t="s">
        <v>37</v>
      </c>
      <c r="D218" t="s">
        <v>19</v>
      </c>
      <c r="E218" t="s">
        <v>14</v>
      </c>
      <c r="F218" t="s">
        <v>62</v>
      </c>
      <c r="G218">
        <v>15</v>
      </c>
      <c r="H218">
        <v>49671</v>
      </c>
      <c r="I218">
        <v>745065</v>
      </c>
      <c r="J218" t="s">
        <v>16</v>
      </c>
      <c r="K218" t="s">
        <v>22</v>
      </c>
    </row>
    <row r="219" spans="1:11" x14ac:dyDescent="0.35">
      <c r="A219" t="s">
        <v>260</v>
      </c>
      <c r="B219" s="1">
        <v>45482</v>
      </c>
      <c r="C219" t="s">
        <v>43</v>
      </c>
      <c r="D219" t="s">
        <v>19</v>
      </c>
      <c r="E219" t="s">
        <v>25</v>
      </c>
      <c r="F219" t="s">
        <v>26</v>
      </c>
      <c r="G219">
        <v>10</v>
      </c>
      <c r="H219">
        <v>14060</v>
      </c>
      <c r="I219">
        <v>140600</v>
      </c>
      <c r="J219" t="s">
        <v>27</v>
      </c>
      <c r="K219" t="s">
        <v>33</v>
      </c>
    </row>
    <row r="220" spans="1:11" x14ac:dyDescent="0.35">
      <c r="A220" t="s">
        <v>261</v>
      </c>
      <c r="B220" s="1">
        <v>45650</v>
      </c>
      <c r="C220" t="s">
        <v>24</v>
      </c>
      <c r="D220" t="s">
        <v>19</v>
      </c>
      <c r="E220" t="s">
        <v>39</v>
      </c>
      <c r="F220" t="s">
        <v>55</v>
      </c>
      <c r="G220">
        <v>19</v>
      </c>
      <c r="H220">
        <v>4767</v>
      </c>
      <c r="I220">
        <v>90573</v>
      </c>
      <c r="J220" t="s">
        <v>21</v>
      </c>
      <c r="K220" t="s">
        <v>33</v>
      </c>
    </row>
    <row r="221" spans="1:11" x14ac:dyDescent="0.35">
      <c r="A221" t="s">
        <v>262</v>
      </c>
      <c r="B221" s="1">
        <v>45310</v>
      </c>
      <c r="C221" t="s">
        <v>29</v>
      </c>
      <c r="D221" t="s">
        <v>35</v>
      </c>
      <c r="E221" t="s">
        <v>14</v>
      </c>
      <c r="F221" t="s">
        <v>15</v>
      </c>
      <c r="G221">
        <v>13</v>
      </c>
      <c r="H221">
        <v>44797</v>
      </c>
      <c r="I221">
        <v>582361</v>
      </c>
      <c r="J221" t="s">
        <v>21</v>
      </c>
      <c r="K221" t="s">
        <v>17</v>
      </c>
    </row>
    <row r="222" spans="1:11" x14ac:dyDescent="0.35">
      <c r="A222" t="s">
        <v>263</v>
      </c>
      <c r="B222" s="1">
        <v>45564</v>
      </c>
      <c r="C222" t="s">
        <v>24</v>
      </c>
      <c r="D222" t="s">
        <v>35</v>
      </c>
      <c r="E222" t="s">
        <v>14</v>
      </c>
      <c r="F222" t="s">
        <v>15</v>
      </c>
      <c r="G222">
        <v>17</v>
      </c>
      <c r="H222">
        <v>34705</v>
      </c>
      <c r="I222">
        <v>589985</v>
      </c>
      <c r="J222" t="s">
        <v>27</v>
      </c>
      <c r="K222" t="s">
        <v>17</v>
      </c>
    </row>
    <row r="223" spans="1:11" x14ac:dyDescent="0.35">
      <c r="A223" t="s">
        <v>264</v>
      </c>
      <c r="B223" s="1">
        <v>45462</v>
      </c>
      <c r="C223" t="s">
        <v>37</v>
      </c>
      <c r="D223" t="s">
        <v>38</v>
      </c>
      <c r="E223" t="s">
        <v>14</v>
      </c>
      <c r="F223" t="s">
        <v>15</v>
      </c>
      <c r="G223">
        <v>12</v>
      </c>
      <c r="H223">
        <v>23866</v>
      </c>
      <c r="I223">
        <v>286392</v>
      </c>
      <c r="J223" t="s">
        <v>32</v>
      </c>
      <c r="K223" t="s">
        <v>33</v>
      </c>
    </row>
    <row r="224" spans="1:11" x14ac:dyDescent="0.35">
      <c r="A224" t="s">
        <v>265</v>
      </c>
      <c r="B224" s="1">
        <v>45361</v>
      </c>
      <c r="C224" t="s">
        <v>12</v>
      </c>
      <c r="D224" t="s">
        <v>38</v>
      </c>
      <c r="E224" t="s">
        <v>39</v>
      </c>
      <c r="F224" t="s">
        <v>65</v>
      </c>
      <c r="G224">
        <v>15</v>
      </c>
      <c r="H224">
        <v>41645</v>
      </c>
      <c r="I224">
        <v>624675</v>
      </c>
      <c r="J224" t="s">
        <v>16</v>
      </c>
      <c r="K224" t="s">
        <v>17</v>
      </c>
    </row>
    <row r="225" spans="1:11" x14ac:dyDescent="0.35">
      <c r="A225" t="s">
        <v>266</v>
      </c>
      <c r="B225" s="1">
        <v>45557</v>
      </c>
      <c r="C225" t="s">
        <v>12</v>
      </c>
      <c r="D225" t="s">
        <v>38</v>
      </c>
      <c r="E225" t="s">
        <v>39</v>
      </c>
      <c r="F225" t="s">
        <v>40</v>
      </c>
      <c r="G225">
        <v>2</v>
      </c>
      <c r="H225">
        <v>21804</v>
      </c>
      <c r="I225">
        <v>43608</v>
      </c>
      <c r="J225" t="s">
        <v>27</v>
      </c>
      <c r="K225" t="s">
        <v>17</v>
      </c>
    </row>
    <row r="226" spans="1:11" x14ac:dyDescent="0.35">
      <c r="A226" t="s">
        <v>267</v>
      </c>
      <c r="B226" s="1">
        <v>45397</v>
      </c>
      <c r="C226" t="s">
        <v>24</v>
      </c>
      <c r="D226" t="s">
        <v>38</v>
      </c>
      <c r="E226" t="s">
        <v>25</v>
      </c>
      <c r="F226" t="s">
        <v>48</v>
      </c>
      <c r="G226">
        <v>13</v>
      </c>
      <c r="H226">
        <v>40711</v>
      </c>
      <c r="I226">
        <v>529243</v>
      </c>
      <c r="J226" t="s">
        <v>27</v>
      </c>
      <c r="K226" t="s">
        <v>33</v>
      </c>
    </row>
    <row r="227" spans="1:11" x14ac:dyDescent="0.35">
      <c r="A227" t="s">
        <v>268</v>
      </c>
      <c r="B227" s="1">
        <v>45467</v>
      </c>
      <c r="C227" t="s">
        <v>24</v>
      </c>
      <c r="D227" t="s">
        <v>13</v>
      </c>
      <c r="E227" t="s">
        <v>25</v>
      </c>
      <c r="F227" t="s">
        <v>58</v>
      </c>
      <c r="G227">
        <v>5</v>
      </c>
      <c r="H227">
        <v>1167</v>
      </c>
      <c r="I227">
        <v>5835</v>
      </c>
      <c r="J227" t="s">
        <v>21</v>
      </c>
      <c r="K227" t="s">
        <v>33</v>
      </c>
    </row>
    <row r="228" spans="1:11" x14ac:dyDescent="0.35">
      <c r="A228" t="s">
        <v>269</v>
      </c>
      <c r="B228" s="1">
        <v>45590</v>
      </c>
      <c r="C228" t="s">
        <v>24</v>
      </c>
      <c r="D228" t="s">
        <v>13</v>
      </c>
      <c r="E228" t="s">
        <v>39</v>
      </c>
      <c r="F228" t="s">
        <v>65</v>
      </c>
      <c r="G228">
        <v>16</v>
      </c>
      <c r="H228">
        <v>21361</v>
      </c>
      <c r="I228">
        <v>341776</v>
      </c>
      <c r="J228" t="s">
        <v>16</v>
      </c>
      <c r="K228" t="s">
        <v>22</v>
      </c>
    </row>
    <row r="229" spans="1:11" x14ac:dyDescent="0.35">
      <c r="A229" t="s">
        <v>270</v>
      </c>
      <c r="B229" s="1">
        <v>45564</v>
      </c>
      <c r="C229" t="s">
        <v>12</v>
      </c>
      <c r="D229" t="s">
        <v>38</v>
      </c>
      <c r="E229" t="s">
        <v>39</v>
      </c>
      <c r="F229" t="s">
        <v>65</v>
      </c>
      <c r="G229">
        <v>20</v>
      </c>
      <c r="H229">
        <v>29244</v>
      </c>
      <c r="I229">
        <v>584880</v>
      </c>
      <c r="J229" t="s">
        <v>27</v>
      </c>
      <c r="K229" t="s">
        <v>17</v>
      </c>
    </row>
    <row r="230" spans="1:11" x14ac:dyDescent="0.35">
      <c r="A230" t="s">
        <v>271</v>
      </c>
      <c r="B230" s="1">
        <v>45655</v>
      </c>
      <c r="C230" t="s">
        <v>12</v>
      </c>
      <c r="D230" t="s">
        <v>35</v>
      </c>
      <c r="E230" t="s">
        <v>25</v>
      </c>
      <c r="F230" t="s">
        <v>26</v>
      </c>
      <c r="G230">
        <v>9</v>
      </c>
      <c r="H230">
        <v>33350</v>
      </c>
      <c r="I230">
        <v>300150</v>
      </c>
      <c r="J230" t="s">
        <v>16</v>
      </c>
      <c r="K230" t="s">
        <v>33</v>
      </c>
    </row>
    <row r="231" spans="1:11" x14ac:dyDescent="0.35">
      <c r="A231" t="s">
        <v>272</v>
      </c>
      <c r="B231" s="1">
        <v>45494</v>
      </c>
      <c r="C231" t="s">
        <v>24</v>
      </c>
      <c r="D231" t="s">
        <v>19</v>
      </c>
      <c r="E231" t="s">
        <v>25</v>
      </c>
      <c r="F231" t="s">
        <v>48</v>
      </c>
      <c r="G231">
        <v>9</v>
      </c>
      <c r="H231">
        <v>30914</v>
      </c>
      <c r="I231">
        <v>278226</v>
      </c>
      <c r="J231" t="s">
        <v>16</v>
      </c>
      <c r="K231" t="s">
        <v>17</v>
      </c>
    </row>
    <row r="232" spans="1:11" x14ac:dyDescent="0.35">
      <c r="A232" t="s">
        <v>273</v>
      </c>
      <c r="B232" s="1">
        <v>45468</v>
      </c>
      <c r="C232" t="s">
        <v>37</v>
      </c>
      <c r="D232" t="s">
        <v>35</v>
      </c>
      <c r="E232" t="s">
        <v>25</v>
      </c>
      <c r="F232" t="s">
        <v>26</v>
      </c>
      <c r="G232">
        <v>1</v>
      </c>
      <c r="H232">
        <v>32761</v>
      </c>
      <c r="I232">
        <v>32761</v>
      </c>
      <c r="J232" t="s">
        <v>16</v>
      </c>
      <c r="K232" t="s">
        <v>33</v>
      </c>
    </row>
    <row r="233" spans="1:11" x14ac:dyDescent="0.35">
      <c r="A233" t="s">
        <v>274</v>
      </c>
      <c r="B233" s="1">
        <v>45312</v>
      </c>
      <c r="C233" t="s">
        <v>29</v>
      </c>
      <c r="D233" t="s">
        <v>35</v>
      </c>
      <c r="E233" t="s">
        <v>39</v>
      </c>
      <c r="F233" t="s">
        <v>40</v>
      </c>
      <c r="G233">
        <v>18</v>
      </c>
      <c r="H233">
        <v>27397</v>
      </c>
      <c r="I233">
        <v>493146</v>
      </c>
      <c r="J233" t="s">
        <v>32</v>
      </c>
      <c r="K233" t="s">
        <v>17</v>
      </c>
    </row>
    <row r="234" spans="1:11" x14ac:dyDescent="0.35">
      <c r="A234" t="s">
        <v>275</v>
      </c>
      <c r="B234" s="1">
        <v>45319</v>
      </c>
      <c r="C234" t="s">
        <v>24</v>
      </c>
      <c r="D234" t="s">
        <v>35</v>
      </c>
      <c r="E234" t="s">
        <v>39</v>
      </c>
      <c r="F234" t="s">
        <v>65</v>
      </c>
      <c r="G234">
        <v>11</v>
      </c>
      <c r="H234">
        <v>39317</v>
      </c>
      <c r="I234">
        <v>432487</v>
      </c>
      <c r="J234" t="s">
        <v>27</v>
      </c>
      <c r="K234" t="s">
        <v>22</v>
      </c>
    </row>
    <row r="235" spans="1:11" x14ac:dyDescent="0.35">
      <c r="A235" t="s">
        <v>276</v>
      </c>
      <c r="B235" s="1">
        <v>45407</v>
      </c>
      <c r="C235" t="s">
        <v>37</v>
      </c>
      <c r="D235" t="s">
        <v>19</v>
      </c>
      <c r="E235" t="s">
        <v>30</v>
      </c>
      <c r="F235" t="s">
        <v>44</v>
      </c>
      <c r="G235">
        <v>6</v>
      </c>
      <c r="H235">
        <v>44749</v>
      </c>
      <c r="I235">
        <v>268494</v>
      </c>
      <c r="J235" t="s">
        <v>16</v>
      </c>
      <c r="K235" t="s">
        <v>22</v>
      </c>
    </row>
    <row r="236" spans="1:11" x14ac:dyDescent="0.35">
      <c r="A236" t="s">
        <v>277</v>
      </c>
      <c r="B236" s="1">
        <v>45540</v>
      </c>
      <c r="C236" t="s">
        <v>24</v>
      </c>
      <c r="D236" t="s">
        <v>19</v>
      </c>
      <c r="E236" t="s">
        <v>25</v>
      </c>
      <c r="F236" t="s">
        <v>58</v>
      </c>
      <c r="G236">
        <v>15</v>
      </c>
      <c r="H236">
        <v>14848</v>
      </c>
      <c r="I236">
        <v>222720</v>
      </c>
      <c r="J236" t="s">
        <v>27</v>
      </c>
      <c r="K236" t="s">
        <v>17</v>
      </c>
    </row>
    <row r="237" spans="1:11" x14ac:dyDescent="0.35">
      <c r="A237" t="s">
        <v>278</v>
      </c>
      <c r="B237" s="1">
        <v>45503</v>
      </c>
      <c r="C237" t="s">
        <v>29</v>
      </c>
      <c r="D237" t="s">
        <v>13</v>
      </c>
      <c r="E237" t="s">
        <v>14</v>
      </c>
      <c r="F237" t="s">
        <v>20</v>
      </c>
      <c r="G237">
        <v>7</v>
      </c>
      <c r="H237">
        <v>21343</v>
      </c>
      <c r="I237">
        <v>149401</v>
      </c>
      <c r="J237" t="s">
        <v>21</v>
      </c>
      <c r="K237" t="s">
        <v>17</v>
      </c>
    </row>
    <row r="238" spans="1:11" x14ac:dyDescent="0.35">
      <c r="A238" t="s">
        <v>279</v>
      </c>
      <c r="B238" s="1">
        <v>45295</v>
      </c>
      <c r="C238" t="s">
        <v>43</v>
      </c>
      <c r="D238" t="s">
        <v>13</v>
      </c>
      <c r="E238" t="s">
        <v>14</v>
      </c>
      <c r="F238" t="s">
        <v>15</v>
      </c>
      <c r="G238">
        <v>17</v>
      </c>
      <c r="H238">
        <v>44279</v>
      </c>
      <c r="I238">
        <v>752743</v>
      </c>
      <c r="J238" t="s">
        <v>32</v>
      </c>
      <c r="K238" t="s">
        <v>33</v>
      </c>
    </row>
    <row r="239" spans="1:11" x14ac:dyDescent="0.35">
      <c r="A239" t="s">
        <v>280</v>
      </c>
      <c r="B239" s="1">
        <v>45432</v>
      </c>
      <c r="C239" t="s">
        <v>24</v>
      </c>
      <c r="D239" t="s">
        <v>19</v>
      </c>
      <c r="E239" t="s">
        <v>30</v>
      </c>
      <c r="F239" t="s">
        <v>44</v>
      </c>
      <c r="G239">
        <v>16</v>
      </c>
      <c r="H239">
        <v>2956</v>
      </c>
      <c r="I239">
        <v>47296</v>
      </c>
      <c r="J239" t="s">
        <v>27</v>
      </c>
      <c r="K239" t="s">
        <v>22</v>
      </c>
    </row>
    <row r="240" spans="1:11" x14ac:dyDescent="0.35">
      <c r="A240" t="s">
        <v>281</v>
      </c>
      <c r="B240" s="1">
        <v>45321</v>
      </c>
      <c r="C240" t="s">
        <v>37</v>
      </c>
      <c r="D240" t="s">
        <v>19</v>
      </c>
      <c r="E240" t="s">
        <v>14</v>
      </c>
      <c r="F240" t="s">
        <v>20</v>
      </c>
      <c r="G240">
        <v>17</v>
      </c>
      <c r="H240">
        <v>31162</v>
      </c>
      <c r="I240">
        <v>529754</v>
      </c>
      <c r="J240" t="s">
        <v>32</v>
      </c>
      <c r="K240" t="s">
        <v>17</v>
      </c>
    </row>
    <row r="241" spans="1:11" x14ac:dyDescent="0.35">
      <c r="A241" t="s">
        <v>282</v>
      </c>
      <c r="B241" s="1">
        <v>45308</v>
      </c>
      <c r="C241" t="s">
        <v>12</v>
      </c>
      <c r="D241" t="s">
        <v>19</v>
      </c>
      <c r="E241" t="s">
        <v>14</v>
      </c>
      <c r="F241" t="s">
        <v>15</v>
      </c>
      <c r="G241">
        <v>5</v>
      </c>
      <c r="H241">
        <v>27427</v>
      </c>
      <c r="I241">
        <v>137135</v>
      </c>
      <c r="J241" t="s">
        <v>27</v>
      </c>
      <c r="K241" t="s">
        <v>17</v>
      </c>
    </row>
    <row r="242" spans="1:11" x14ac:dyDescent="0.35">
      <c r="A242" t="s">
        <v>283</v>
      </c>
      <c r="B242" s="1">
        <v>45390</v>
      </c>
      <c r="C242" t="s">
        <v>29</v>
      </c>
      <c r="D242" t="s">
        <v>35</v>
      </c>
      <c r="E242" t="s">
        <v>30</v>
      </c>
      <c r="F242" t="s">
        <v>44</v>
      </c>
      <c r="G242">
        <v>11</v>
      </c>
      <c r="H242">
        <v>34607</v>
      </c>
      <c r="I242">
        <v>380677</v>
      </c>
      <c r="J242" t="s">
        <v>27</v>
      </c>
      <c r="K242" t="s">
        <v>22</v>
      </c>
    </row>
    <row r="243" spans="1:11" x14ac:dyDescent="0.35">
      <c r="A243" t="s">
        <v>284</v>
      </c>
      <c r="B243" s="1">
        <v>45392</v>
      </c>
      <c r="C243" t="s">
        <v>29</v>
      </c>
      <c r="D243" t="s">
        <v>19</v>
      </c>
      <c r="E243" t="s">
        <v>25</v>
      </c>
      <c r="F243" t="s">
        <v>26</v>
      </c>
      <c r="G243">
        <v>2</v>
      </c>
      <c r="H243">
        <v>45746</v>
      </c>
      <c r="I243">
        <v>91492</v>
      </c>
      <c r="J243" t="s">
        <v>27</v>
      </c>
      <c r="K243" t="s">
        <v>17</v>
      </c>
    </row>
    <row r="244" spans="1:11" x14ac:dyDescent="0.35">
      <c r="A244" t="s">
        <v>285</v>
      </c>
      <c r="B244" s="1">
        <v>45396</v>
      </c>
      <c r="C244" t="s">
        <v>37</v>
      </c>
      <c r="D244" t="s">
        <v>19</v>
      </c>
      <c r="E244" t="s">
        <v>25</v>
      </c>
      <c r="F244" t="s">
        <v>48</v>
      </c>
      <c r="G244">
        <v>7</v>
      </c>
      <c r="H244">
        <v>48085</v>
      </c>
      <c r="I244">
        <v>336595</v>
      </c>
      <c r="J244" t="s">
        <v>27</v>
      </c>
      <c r="K244" t="s">
        <v>33</v>
      </c>
    </row>
    <row r="245" spans="1:11" x14ac:dyDescent="0.35">
      <c r="A245" t="s">
        <v>286</v>
      </c>
      <c r="B245" s="1">
        <v>45330</v>
      </c>
      <c r="C245" t="s">
        <v>43</v>
      </c>
      <c r="D245" t="s">
        <v>38</v>
      </c>
      <c r="E245" t="s">
        <v>30</v>
      </c>
      <c r="F245" t="s">
        <v>31</v>
      </c>
      <c r="G245">
        <v>13</v>
      </c>
      <c r="H245">
        <v>41246</v>
      </c>
      <c r="I245">
        <v>536198</v>
      </c>
      <c r="J245" t="s">
        <v>16</v>
      </c>
      <c r="K245" t="s">
        <v>17</v>
      </c>
    </row>
    <row r="246" spans="1:11" x14ac:dyDescent="0.35">
      <c r="A246" t="s">
        <v>287</v>
      </c>
      <c r="B246" s="1">
        <v>45336</v>
      </c>
      <c r="C246" t="s">
        <v>43</v>
      </c>
      <c r="D246" t="s">
        <v>19</v>
      </c>
      <c r="E246" t="s">
        <v>39</v>
      </c>
      <c r="F246" t="s">
        <v>40</v>
      </c>
      <c r="G246">
        <v>6</v>
      </c>
      <c r="H246">
        <v>40358</v>
      </c>
      <c r="I246">
        <v>242148</v>
      </c>
      <c r="J246" t="s">
        <v>27</v>
      </c>
      <c r="K246" t="s">
        <v>22</v>
      </c>
    </row>
    <row r="247" spans="1:11" x14ac:dyDescent="0.35">
      <c r="A247" t="s">
        <v>288</v>
      </c>
      <c r="B247" s="1">
        <v>45433</v>
      </c>
      <c r="C247" t="s">
        <v>12</v>
      </c>
      <c r="D247" t="s">
        <v>38</v>
      </c>
      <c r="E247" t="s">
        <v>39</v>
      </c>
      <c r="F247" t="s">
        <v>55</v>
      </c>
      <c r="G247">
        <v>18</v>
      </c>
      <c r="H247">
        <v>36484</v>
      </c>
      <c r="I247">
        <v>656712</v>
      </c>
      <c r="J247" t="s">
        <v>16</v>
      </c>
      <c r="K247" t="s">
        <v>22</v>
      </c>
    </row>
    <row r="248" spans="1:11" x14ac:dyDescent="0.35">
      <c r="A248" t="s">
        <v>289</v>
      </c>
      <c r="B248" s="1">
        <v>45544</v>
      </c>
      <c r="C248" t="s">
        <v>12</v>
      </c>
      <c r="D248" t="s">
        <v>35</v>
      </c>
      <c r="E248" t="s">
        <v>14</v>
      </c>
      <c r="F248" t="s">
        <v>15</v>
      </c>
      <c r="G248">
        <v>5</v>
      </c>
      <c r="H248">
        <v>21789</v>
      </c>
      <c r="I248">
        <v>108945</v>
      </c>
      <c r="J248" t="s">
        <v>27</v>
      </c>
      <c r="K248" t="s">
        <v>17</v>
      </c>
    </row>
    <row r="249" spans="1:11" x14ac:dyDescent="0.35">
      <c r="A249" t="s">
        <v>290</v>
      </c>
      <c r="B249" s="1">
        <v>45441</v>
      </c>
      <c r="C249" t="s">
        <v>43</v>
      </c>
      <c r="D249" t="s">
        <v>38</v>
      </c>
      <c r="E249" t="s">
        <v>39</v>
      </c>
      <c r="F249" t="s">
        <v>55</v>
      </c>
      <c r="G249">
        <v>18</v>
      </c>
      <c r="H249">
        <v>4851</v>
      </c>
      <c r="I249">
        <v>87318</v>
      </c>
      <c r="J249" t="s">
        <v>27</v>
      </c>
      <c r="K249" t="s">
        <v>17</v>
      </c>
    </row>
    <row r="250" spans="1:11" x14ac:dyDescent="0.35">
      <c r="A250" t="s">
        <v>291</v>
      </c>
      <c r="B250" s="1">
        <v>45494</v>
      </c>
      <c r="C250" t="s">
        <v>12</v>
      </c>
      <c r="D250" t="s">
        <v>35</v>
      </c>
      <c r="E250" t="s">
        <v>14</v>
      </c>
      <c r="F250" t="s">
        <v>20</v>
      </c>
      <c r="G250">
        <v>1</v>
      </c>
      <c r="H250">
        <v>8039</v>
      </c>
      <c r="I250">
        <v>8039</v>
      </c>
      <c r="J250" t="s">
        <v>16</v>
      </c>
      <c r="K250" t="s">
        <v>22</v>
      </c>
    </row>
    <row r="251" spans="1:11" x14ac:dyDescent="0.35">
      <c r="A251" t="s">
        <v>292</v>
      </c>
      <c r="B251" s="1">
        <v>45620</v>
      </c>
      <c r="C251" t="s">
        <v>24</v>
      </c>
      <c r="D251" t="s">
        <v>38</v>
      </c>
      <c r="E251" t="s">
        <v>14</v>
      </c>
      <c r="F251" t="s">
        <v>15</v>
      </c>
      <c r="G251">
        <v>19</v>
      </c>
      <c r="H251">
        <v>26171</v>
      </c>
      <c r="I251">
        <v>497249</v>
      </c>
      <c r="J251" t="s">
        <v>27</v>
      </c>
      <c r="K251" t="s">
        <v>33</v>
      </c>
    </row>
    <row r="252" spans="1:11" x14ac:dyDescent="0.35">
      <c r="A252" t="s">
        <v>293</v>
      </c>
      <c r="B252" s="1">
        <v>45445</v>
      </c>
      <c r="C252" t="s">
        <v>29</v>
      </c>
      <c r="D252" t="s">
        <v>19</v>
      </c>
      <c r="E252" t="s">
        <v>25</v>
      </c>
      <c r="F252" t="s">
        <v>48</v>
      </c>
      <c r="G252">
        <v>13</v>
      </c>
      <c r="H252">
        <v>10159</v>
      </c>
      <c r="I252">
        <v>132067</v>
      </c>
      <c r="J252" t="s">
        <v>27</v>
      </c>
      <c r="K252" t="s">
        <v>22</v>
      </c>
    </row>
    <row r="253" spans="1:11" x14ac:dyDescent="0.35">
      <c r="A253" t="s">
        <v>294</v>
      </c>
      <c r="B253" s="1">
        <v>45439</v>
      </c>
      <c r="C253" t="s">
        <v>24</v>
      </c>
      <c r="D253" t="s">
        <v>13</v>
      </c>
      <c r="E253" t="s">
        <v>25</v>
      </c>
      <c r="F253" t="s">
        <v>48</v>
      </c>
      <c r="G253">
        <v>16</v>
      </c>
      <c r="H253">
        <v>9684</v>
      </c>
      <c r="I253">
        <v>154944</v>
      </c>
      <c r="J253" t="s">
        <v>27</v>
      </c>
      <c r="K253" t="s">
        <v>33</v>
      </c>
    </row>
    <row r="254" spans="1:11" x14ac:dyDescent="0.35">
      <c r="A254" t="s">
        <v>295</v>
      </c>
      <c r="B254" s="1">
        <v>45436</v>
      </c>
      <c r="C254" t="s">
        <v>37</v>
      </c>
      <c r="D254" t="s">
        <v>38</v>
      </c>
      <c r="E254" t="s">
        <v>39</v>
      </c>
      <c r="F254" t="s">
        <v>65</v>
      </c>
      <c r="G254">
        <v>3</v>
      </c>
      <c r="H254">
        <v>45169</v>
      </c>
      <c r="I254">
        <v>135507</v>
      </c>
      <c r="J254" t="s">
        <v>32</v>
      </c>
      <c r="K254" t="s">
        <v>33</v>
      </c>
    </row>
    <row r="255" spans="1:11" x14ac:dyDescent="0.35">
      <c r="A255" t="s">
        <v>296</v>
      </c>
      <c r="B255" s="1">
        <v>45445</v>
      </c>
      <c r="C255" t="s">
        <v>24</v>
      </c>
      <c r="D255" t="s">
        <v>19</v>
      </c>
      <c r="E255" t="s">
        <v>30</v>
      </c>
      <c r="F255" t="s">
        <v>44</v>
      </c>
      <c r="G255">
        <v>18</v>
      </c>
      <c r="H255">
        <v>16580</v>
      </c>
      <c r="I255">
        <v>298440</v>
      </c>
      <c r="J255" t="s">
        <v>32</v>
      </c>
      <c r="K255" t="s">
        <v>17</v>
      </c>
    </row>
    <row r="256" spans="1:11" x14ac:dyDescent="0.35">
      <c r="A256" t="s">
        <v>297</v>
      </c>
      <c r="B256" s="1">
        <v>45431</v>
      </c>
      <c r="C256" t="s">
        <v>43</v>
      </c>
      <c r="D256" t="s">
        <v>13</v>
      </c>
      <c r="E256" t="s">
        <v>39</v>
      </c>
      <c r="F256" t="s">
        <v>55</v>
      </c>
      <c r="G256">
        <v>20</v>
      </c>
      <c r="H256">
        <v>4926</v>
      </c>
      <c r="I256">
        <v>98520</v>
      </c>
      <c r="J256" t="s">
        <v>16</v>
      </c>
      <c r="K256" t="s">
        <v>17</v>
      </c>
    </row>
    <row r="257" spans="1:11" x14ac:dyDescent="0.35">
      <c r="A257" t="s">
        <v>298</v>
      </c>
      <c r="B257" s="1">
        <v>45358</v>
      </c>
      <c r="C257" t="s">
        <v>43</v>
      </c>
      <c r="D257" t="s">
        <v>35</v>
      </c>
      <c r="E257" t="s">
        <v>30</v>
      </c>
      <c r="F257" t="s">
        <v>31</v>
      </c>
      <c r="G257">
        <v>9</v>
      </c>
      <c r="H257">
        <v>44059</v>
      </c>
      <c r="I257">
        <v>396531</v>
      </c>
      <c r="J257" t="s">
        <v>32</v>
      </c>
      <c r="K257" t="s">
        <v>22</v>
      </c>
    </row>
    <row r="258" spans="1:11" x14ac:dyDescent="0.35">
      <c r="A258" t="s">
        <v>299</v>
      </c>
      <c r="B258" s="1">
        <v>45537</v>
      </c>
      <c r="C258" t="s">
        <v>37</v>
      </c>
      <c r="D258" t="s">
        <v>13</v>
      </c>
      <c r="E258" t="s">
        <v>39</v>
      </c>
      <c r="F258" t="s">
        <v>65</v>
      </c>
      <c r="G258">
        <v>2</v>
      </c>
      <c r="H258">
        <v>19540</v>
      </c>
      <c r="I258">
        <v>39080</v>
      </c>
      <c r="J258" t="s">
        <v>16</v>
      </c>
      <c r="K258" t="s">
        <v>17</v>
      </c>
    </row>
    <row r="259" spans="1:11" x14ac:dyDescent="0.35">
      <c r="A259" t="s">
        <v>300</v>
      </c>
      <c r="B259" s="1">
        <v>45574</v>
      </c>
      <c r="C259" t="s">
        <v>43</v>
      </c>
      <c r="D259" t="s">
        <v>19</v>
      </c>
      <c r="E259" t="s">
        <v>39</v>
      </c>
      <c r="F259" t="s">
        <v>65</v>
      </c>
      <c r="G259">
        <v>20</v>
      </c>
      <c r="H259">
        <v>47300</v>
      </c>
      <c r="I259">
        <v>946000</v>
      </c>
      <c r="J259" t="s">
        <v>27</v>
      </c>
      <c r="K259" t="s">
        <v>22</v>
      </c>
    </row>
    <row r="260" spans="1:11" x14ac:dyDescent="0.35">
      <c r="A260" t="s">
        <v>301</v>
      </c>
      <c r="B260" s="1">
        <v>45584</v>
      </c>
      <c r="C260" t="s">
        <v>43</v>
      </c>
      <c r="D260" t="s">
        <v>38</v>
      </c>
      <c r="E260" t="s">
        <v>30</v>
      </c>
      <c r="F260" t="s">
        <v>44</v>
      </c>
      <c r="G260">
        <v>11</v>
      </c>
      <c r="H260">
        <v>9389</v>
      </c>
      <c r="I260">
        <v>103279</v>
      </c>
      <c r="J260" t="s">
        <v>16</v>
      </c>
      <c r="K260" t="s">
        <v>17</v>
      </c>
    </row>
    <row r="261" spans="1:11" x14ac:dyDescent="0.35">
      <c r="A261" t="s">
        <v>302</v>
      </c>
      <c r="B261" s="1">
        <v>45438</v>
      </c>
      <c r="C261" t="s">
        <v>12</v>
      </c>
      <c r="D261" t="s">
        <v>38</v>
      </c>
      <c r="E261" t="s">
        <v>39</v>
      </c>
      <c r="F261" t="s">
        <v>65</v>
      </c>
      <c r="G261">
        <v>9</v>
      </c>
      <c r="H261">
        <v>3705</v>
      </c>
      <c r="I261">
        <v>33345</v>
      </c>
      <c r="J261" t="s">
        <v>27</v>
      </c>
      <c r="K261" t="s">
        <v>22</v>
      </c>
    </row>
    <row r="262" spans="1:11" x14ac:dyDescent="0.35">
      <c r="A262" t="s">
        <v>303</v>
      </c>
      <c r="B262" s="1">
        <v>45324</v>
      </c>
      <c r="C262" t="s">
        <v>29</v>
      </c>
      <c r="D262" t="s">
        <v>13</v>
      </c>
      <c r="E262" t="s">
        <v>25</v>
      </c>
      <c r="F262" t="s">
        <v>26</v>
      </c>
      <c r="G262">
        <v>17</v>
      </c>
      <c r="H262">
        <v>16900</v>
      </c>
      <c r="I262">
        <v>287300</v>
      </c>
      <c r="J262" t="s">
        <v>32</v>
      </c>
      <c r="K262" t="s">
        <v>33</v>
      </c>
    </row>
    <row r="263" spans="1:11" x14ac:dyDescent="0.35">
      <c r="A263" t="s">
        <v>304</v>
      </c>
      <c r="B263" s="1">
        <v>45338</v>
      </c>
      <c r="C263" t="s">
        <v>37</v>
      </c>
      <c r="D263" t="s">
        <v>38</v>
      </c>
      <c r="E263" t="s">
        <v>25</v>
      </c>
      <c r="F263" t="s">
        <v>48</v>
      </c>
      <c r="G263">
        <v>10</v>
      </c>
      <c r="H263">
        <v>6503</v>
      </c>
      <c r="I263">
        <v>65030</v>
      </c>
      <c r="J263" t="s">
        <v>21</v>
      </c>
      <c r="K263" t="s">
        <v>33</v>
      </c>
    </row>
    <row r="264" spans="1:11" x14ac:dyDescent="0.35">
      <c r="A264" t="s">
        <v>305</v>
      </c>
      <c r="B264" s="1">
        <v>45447</v>
      </c>
      <c r="C264" t="s">
        <v>37</v>
      </c>
      <c r="D264" t="s">
        <v>13</v>
      </c>
      <c r="E264" t="s">
        <v>25</v>
      </c>
      <c r="F264" t="s">
        <v>26</v>
      </c>
      <c r="G264">
        <v>2</v>
      </c>
      <c r="H264">
        <v>4549</v>
      </c>
      <c r="I264">
        <v>9098</v>
      </c>
      <c r="J264" t="s">
        <v>16</v>
      </c>
      <c r="K264" t="s">
        <v>33</v>
      </c>
    </row>
    <row r="265" spans="1:11" x14ac:dyDescent="0.35">
      <c r="A265" t="s">
        <v>306</v>
      </c>
      <c r="B265" s="1">
        <v>45367</v>
      </c>
      <c r="C265" t="s">
        <v>12</v>
      </c>
      <c r="D265" t="s">
        <v>35</v>
      </c>
      <c r="E265" t="s">
        <v>14</v>
      </c>
      <c r="F265" t="s">
        <v>20</v>
      </c>
      <c r="G265">
        <v>2</v>
      </c>
      <c r="H265">
        <v>20402</v>
      </c>
      <c r="I265">
        <v>40804</v>
      </c>
      <c r="J265" t="s">
        <v>32</v>
      </c>
      <c r="K265" t="s">
        <v>22</v>
      </c>
    </row>
    <row r="266" spans="1:11" x14ac:dyDescent="0.35">
      <c r="A266" t="s">
        <v>307</v>
      </c>
      <c r="B266" s="1">
        <v>45403</v>
      </c>
      <c r="C266" t="s">
        <v>29</v>
      </c>
      <c r="D266" t="s">
        <v>35</v>
      </c>
      <c r="E266" t="s">
        <v>39</v>
      </c>
      <c r="F266" t="s">
        <v>40</v>
      </c>
      <c r="G266">
        <v>10</v>
      </c>
      <c r="H266">
        <v>30549</v>
      </c>
      <c r="I266">
        <v>305490</v>
      </c>
      <c r="J266" t="s">
        <v>32</v>
      </c>
      <c r="K266" t="s">
        <v>22</v>
      </c>
    </row>
    <row r="267" spans="1:11" x14ac:dyDescent="0.35">
      <c r="A267" t="s">
        <v>308</v>
      </c>
      <c r="B267" s="1">
        <v>45553</v>
      </c>
      <c r="C267" t="s">
        <v>43</v>
      </c>
      <c r="D267" t="s">
        <v>13</v>
      </c>
      <c r="E267" t="s">
        <v>30</v>
      </c>
      <c r="F267" t="s">
        <v>31</v>
      </c>
      <c r="G267">
        <v>14</v>
      </c>
      <c r="H267">
        <v>27992</v>
      </c>
      <c r="I267">
        <v>391888</v>
      </c>
      <c r="J267" t="s">
        <v>21</v>
      </c>
      <c r="K267" t="s">
        <v>17</v>
      </c>
    </row>
    <row r="268" spans="1:11" x14ac:dyDescent="0.35">
      <c r="A268" t="s">
        <v>309</v>
      </c>
      <c r="B268" s="1">
        <v>45292</v>
      </c>
      <c r="C268" t="s">
        <v>43</v>
      </c>
      <c r="D268" t="s">
        <v>19</v>
      </c>
      <c r="E268" t="s">
        <v>25</v>
      </c>
      <c r="F268" t="s">
        <v>58</v>
      </c>
      <c r="G268">
        <v>8</v>
      </c>
      <c r="H268">
        <v>21643</v>
      </c>
      <c r="I268">
        <v>173144</v>
      </c>
      <c r="J268" t="s">
        <v>21</v>
      </c>
      <c r="K268" t="s">
        <v>22</v>
      </c>
    </row>
    <row r="269" spans="1:11" x14ac:dyDescent="0.35">
      <c r="A269" t="s">
        <v>310</v>
      </c>
      <c r="B269" s="1">
        <v>45593</v>
      </c>
      <c r="C269" t="s">
        <v>29</v>
      </c>
      <c r="D269" t="s">
        <v>38</v>
      </c>
      <c r="E269" t="s">
        <v>39</v>
      </c>
      <c r="F269" t="s">
        <v>65</v>
      </c>
      <c r="G269">
        <v>3</v>
      </c>
      <c r="H269">
        <v>19074</v>
      </c>
      <c r="I269">
        <v>57222</v>
      </c>
      <c r="J269" t="s">
        <v>21</v>
      </c>
      <c r="K269" t="s">
        <v>33</v>
      </c>
    </row>
    <row r="270" spans="1:11" x14ac:dyDescent="0.35">
      <c r="A270" t="s">
        <v>311</v>
      </c>
      <c r="B270" s="1">
        <v>45519</v>
      </c>
      <c r="C270" t="s">
        <v>43</v>
      </c>
      <c r="D270" t="s">
        <v>35</v>
      </c>
      <c r="E270" t="s">
        <v>25</v>
      </c>
      <c r="F270" t="s">
        <v>26</v>
      </c>
      <c r="G270">
        <v>15</v>
      </c>
      <c r="H270">
        <v>39740</v>
      </c>
      <c r="I270">
        <v>596100</v>
      </c>
      <c r="J270" t="s">
        <v>32</v>
      </c>
      <c r="K270" t="s">
        <v>33</v>
      </c>
    </row>
    <row r="271" spans="1:11" x14ac:dyDescent="0.35">
      <c r="A271" t="s">
        <v>312</v>
      </c>
      <c r="B271" s="1">
        <v>45436</v>
      </c>
      <c r="C271" t="s">
        <v>12</v>
      </c>
      <c r="D271" t="s">
        <v>19</v>
      </c>
      <c r="E271" t="s">
        <v>30</v>
      </c>
      <c r="F271" t="s">
        <v>31</v>
      </c>
      <c r="G271">
        <v>20</v>
      </c>
      <c r="H271">
        <v>21774</v>
      </c>
      <c r="I271">
        <v>435480</v>
      </c>
      <c r="J271" t="s">
        <v>27</v>
      </c>
      <c r="K271" t="s">
        <v>33</v>
      </c>
    </row>
    <row r="272" spans="1:11" x14ac:dyDescent="0.35">
      <c r="A272" t="s">
        <v>313</v>
      </c>
      <c r="B272" s="1">
        <v>45482</v>
      </c>
      <c r="C272" t="s">
        <v>24</v>
      </c>
      <c r="D272" t="s">
        <v>19</v>
      </c>
      <c r="E272" t="s">
        <v>39</v>
      </c>
      <c r="F272" t="s">
        <v>40</v>
      </c>
      <c r="G272">
        <v>15</v>
      </c>
      <c r="H272">
        <v>12707</v>
      </c>
      <c r="I272">
        <v>190605</v>
      </c>
      <c r="J272" t="s">
        <v>27</v>
      </c>
      <c r="K272" t="s">
        <v>33</v>
      </c>
    </row>
    <row r="273" spans="1:11" x14ac:dyDescent="0.35">
      <c r="A273" t="s">
        <v>314</v>
      </c>
      <c r="B273" s="1">
        <v>45655</v>
      </c>
      <c r="C273" t="s">
        <v>12</v>
      </c>
      <c r="D273" t="s">
        <v>38</v>
      </c>
      <c r="E273" t="s">
        <v>14</v>
      </c>
      <c r="F273" t="s">
        <v>20</v>
      </c>
      <c r="G273">
        <v>5</v>
      </c>
      <c r="H273">
        <v>42946</v>
      </c>
      <c r="I273">
        <v>214730</v>
      </c>
      <c r="J273" t="s">
        <v>16</v>
      </c>
      <c r="K273" t="s">
        <v>33</v>
      </c>
    </row>
    <row r="274" spans="1:11" x14ac:dyDescent="0.35">
      <c r="A274" t="s">
        <v>315</v>
      </c>
      <c r="B274" s="1">
        <v>45469</v>
      </c>
      <c r="C274" t="s">
        <v>24</v>
      </c>
      <c r="D274" t="s">
        <v>13</v>
      </c>
      <c r="E274" t="s">
        <v>30</v>
      </c>
      <c r="F274" t="s">
        <v>44</v>
      </c>
      <c r="G274">
        <v>10</v>
      </c>
      <c r="H274">
        <v>19275</v>
      </c>
      <c r="I274">
        <v>192750</v>
      </c>
      <c r="J274" t="s">
        <v>32</v>
      </c>
      <c r="K274" t="s">
        <v>33</v>
      </c>
    </row>
    <row r="275" spans="1:11" x14ac:dyDescent="0.35">
      <c r="A275" t="s">
        <v>316</v>
      </c>
      <c r="B275" s="1">
        <v>45535</v>
      </c>
      <c r="C275" t="s">
        <v>24</v>
      </c>
      <c r="D275" t="s">
        <v>38</v>
      </c>
      <c r="E275" t="s">
        <v>39</v>
      </c>
      <c r="F275" t="s">
        <v>55</v>
      </c>
      <c r="G275">
        <v>14</v>
      </c>
      <c r="H275">
        <v>22824</v>
      </c>
      <c r="I275">
        <v>319536</v>
      </c>
      <c r="J275" t="s">
        <v>32</v>
      </c>
      <c r="K275" t="s">
        <v>22</v>
      </c>
    </row>
    <row r="276" spans="1:11" x14ac:dyDescent="0.35">
      <c r="A276" t="s">
        <v>317</v>
      </c>
      <c r="B276" s="1">
        <v>45564</v>
      </c>
      <c r="C276" t="s">
        <v>29</v>
      </c>
      <c r="D276" t="s">
        <v>13</v>
      </c>
      <c r="E276" t="s">
        <v>25</v>
      </c>
      <c r="F276" t="s">
        <v>58</v>
      </c>
      <c r="G276">
        <v>12</v>
      </c>
      <c r="H276">
        <v>28623</v>
      </c>
      <c r="I276">
        <v>343476</v>
      </c>
      <c r="J276" t="s">
        <v>21</v>
      </c>
      <c r="K276" t="s">
        <v>33</v>
      </c>
    </row>
    <row r="277" spans="1:11" x14ac:dyDescent="0.35">
      <c r="A277" t="s">
        <v>318</v>
      </c>
      <c r="B277" s="1">
        <v>45341</v>
      </c>
      <c r="C277" t="s">
        <v>29</v>
      </c>
      <c r="D277" t="s">
        <v>13</v>
      </c>
      <c r="E277" t="s">
        <v>30</v>
      </c>
      <c r="F277" t="s">
        <v>44</v>
      </c>
      <c r="G277">
        <v>15</v>
      </c>
      <c r="H277">
        <v>19808</v>
      </c>
      <c r="I277">
        <v>297120</v>
      </c>
      <c r="J277" t="s">
        <v>21</v>
      </c>
      <c r="K277" t="s">
        <v>22</v>
      </c>
    </row>
    <row r="278" spans="1:11" x14ac:dyDescent="0.35">
      <c r="A278" t="s">
        <v>319</v>
      </c>
      <c r="B278" s="1">
        <v>45483</v>
      </c>
      <c r="C278" t="s">
        <v>12</v>
      </c>
      <c r="D278" t="s">
        <v>13</v>
      </c>
      <c r="E278" t="s">
        <v>30</v>
      </c>
      <c r="F278" t="s">
        <v>31</v>
      </c>
      <c r="G278">
        <v>6</v>
      </c>
      <c r="H278">
        <v>30776</v>
      </c>
      <c r="I278">
        <v>184656</v>
      </c>
      <c r="J278" t="s">
        <v>27</v>
      </c>
      <c r="K278" t="s">
        <v>33</v>
      </c>
    </row>
    <row r="279" spans="1:11" x14ac:dyDescent="0.35">
      <c r="A279" t="s">
        <v>320</v>
      </c>
      <c r="B279" s="1">
        <v>45628</v>
      </c>
      <c r="C279" t="s">
        <v>29</v>
      </c>
      <c r="D279" t="s">
        <v>38</v>
      </c>
      <c r="E279" t="s">
        <v>14</v>
      </c>
      <c r="F279" t="s">
        <v>20</v>
      </c>
      <c r="G279">
        <v>3</v>
      </c>
      <c r="H279">
        <v>19127</v>
      </c>
      <c r="I279">
        <v>57381</v>
      </c>
      <c r="J279" t="s">
        <v>32</v>
      </c>
      <c r="K279" t="s">
        <v>22</v>
      </c>
    </row>
    <row r="280" spans="1:11" x14ac:dyDescent="0.35">
      <c r="A280" t="s">
        <v>321</v>
      </c>
      <c r="B280" s="1">
        <v>45386</v>
      </c>
      <c r="C280" t="s">
        <v>43</v>
      </c>
      <c r="D280" t="s">
        <v>19</v>
      </c>
      <c r="E280" t="s">
        <v>25</v>
      </c>
      <c r="F280" t="s">
        <v>26</v>
      </c>
      <c r="G280">
        <v>6</v>
      </c>
      <c r="H280">
        <v>43897</v>
      </c>
      <c r="I280">
        <v>263382</v>
      </c>
      <c r="J280" t="s">
        <v>32</v>
      </c>
      <c r="K280" t="s">
        <v>33</v>
      </c>
    </row>
    <row r="281" spans="1:11" x14ac:dyDescent="0.35">
      <c r="A281" t="s">
        <v>322</v>
      </c>
      <c r="B281" s="1">
        <v>45407</v>
      </c>
      <c r="C281" t="s">
        <v>24</v>
      </c>
      <c r="D281" t="s">
        <v>35</v>
      </c>
      <c r="E281" t="s">
        <v>25</v>
      </c>
      <c r="F281" t="s">
        <v>48</v>
      </c>
      <c r="G281">
        <v>1</v>
      </c>
      <c r="H281">
        <v>14819</v>
      </c>
      <c r="I281">
        <v>14819</v>
      </c>
      <c r="J281" t="s">
        <v>16</v>
      </c>
      <c r="K281" t="s">
        <v>22</v>
      </c>
    </row>
    <row r="282" spans="1:11" x14ac:dyDescent="0.35">
      <c r="A282" t="s">
        <v>323</v>
      </c>
      <c r="B282" s="1">
        <v>45440</v>
      </c>
      <c r="C282" t="s">
        <v>24</v>
      </c>
      <c r="D282" t="s">
        <v>38</v>
      </c>
      <c r="E282" t="s">
        <v>14</v>
      </c>
      <c r="F282" t="s">
        <v>20</v>
      </c>
      <c r="G282">
        <v>8</v>
      </c>
      <c r="H282">
        <v>17884</v>
      </c>
      <c r="I282">
        <v>143072</v>
      </c>
      <c r="J282" t="s">
        <v>16</v>
      </c>
      <c r="K282" t="s">
        <v>17</v>
      </c>
    </row>
    <row r="283" spans="1:11" x14ac:dyDescent="0.35">
      <c r="A283" t="s">
        <v>324</v>
      </c>
      <c r="B283" s="1">
        <v>45446</v>
      </c>
      <c r="C283" t="s">
        <v>43</v>
      </c>
      <c r="D283" t="s">
        <v>35</v>
      </c>
      <c r="E283" t="s">
        <v>39</v>
      </c>
      <c r="F283" t="s">
        <v>55</v>
      </c>
      <c r="G283">
        <v>6</v>
      </c>
      <c r="H283">
        <v>47359</v>
      </c>
      <c r="I283">
        <v>284154</v>
      </c>
      <c r="J283" t="s">
        <v>16</v>
      </c>
      <c r="K283" t="s">
        <v>33</v>
      </c>
    </row>
    <row r="284" spans="1:11" x14ac:dyDescent="0.35">
      <c r="A284" t="s">
        <v>325</v>
      </c>
      <c r="B284" s="1">
        <v>45596</v>
      </c>
      <c r="C284" t="s">
        <v>43</v>
      </c>
      <c r="D284" t="s">
        <v>13</v>
      </c>
      <c r="E284" t="s">
        <v>39</v>
      </c>
      <c r="F284" t="s">
        <v>40</v>
      </c>
      <c r="G284">
        <v>14</v>
      </c>
      <c r="H284">
        <v>6380</v>
      </c>
      <c r="I284">
        <v>89320</v>
      </c>
      <c r="J284" t="s">
        <v>27</v>
      </c>
      <c r="K284" t="s">
        <v>33</v>
      </c>
    </row>
    <row r="285" spans="1:11" x14ac:dyDescent="0.35">
      <c r="A285" t="s">
        <v>326</v>
      </c>
      <c r="B285" s="1">
        <v>45373</v>
      </c>
      <c r="C285" t="s">
        <v>24</v>
      </c>
      <c r="D285" t="s">
        <v>35</v>
      </c>
      <c r="E285" t="s">
        <v>30</v>
      </c>
      <c r="F285" t="s">
        <v>31</v>
      </c>
      <c r="G285">
        <v>14</v>
      </c>
      <c r="H285">
        <v>3627</v>
      </c>
      <c r="I285">
        <v>50778</v>
      </c>
      <c r="J285" t="s">
        <v>21</v>
      </c>
      <c r="K285" t="s">
        <v>17</v>
      </c>
    </row>
    <row r="286" spans="1:11" x14ac:dyDescent="0.35">
      <c r="A286" t="s">
        <v>327</v>
      </c>
      <c r="B286" s="1">
        <v>45343</v>
      </c>
      <c r="C286" t="s">
        <v>24</v>
      </c>
      <c r="D286" t="s">
        <v>38</v>
      </c>
      <c r="E286" t="s">
        <v>30</v>
      </c>
      <c r="F286" t="s">
        <v>81</v>
      </c>
      <c r="G286">
        <v>11</v>
      </c>
      <c r="H286">
        <v>7539</v>
      </c>
      <c r="I286">
        <v>82929</v>
      </c>
      <c r="J286" t="s">
        <v>16</v>
      </c>
      <c r="K286" t="s">
        <v>33</v>
      </c>
    </row>
    <row r="287" spans="1:11" x14ac:dyDescent="0.35">
      <c r="A287" t="s">
        <v>328</v>
      </c>
      <c r="B287" s="1">
        <v>45584</v>
      </c>
      <c r="C287" t="s">
        <v>24</v>
      </c>
      <c r="D287" t="s">
        <v>19</v>
      </c>
      <c r="E287" t="s">
        <v>30</v>
      </c>
      <c r="F287" t="s">
        <v>31</v>
      </c>
      <c r="G287">
        <v>17</v>
      </c>
      <c r="H287">
        <v>29545</v>
      </c>
      <c r="I287">
        <v>502265</v>
      </c>
      <c r="J287" t="s">
        <v>27</v>
      </c>
      <c r="K287" t="s">
        <v>33</v>
      </c>
    </row>
    <row r="288" spans="1:11" x14ac:dyDescent="0.35">
      <c r="A288" t="s">
        <v>329</v>
      </c>
      <c r="B288" s="1">
        <v>45631</v>
      </c>
      <c r="C288" t="s">
        <v>43</v>
      </c>
      <c r="D288" t="s">
        <v>35</v>
      </c>
      <c r="E288" t="s">
        <v>25</v>
      </c>
      <c r="F288" t="s">
        <v>58</v>
      </c>
      <c r="G288">
        <v>12</v>
      </c>
      <c r="H288">
        <v>21682</v>
      </c>
      <c r="I288">
        <v>260184</v>
      </c>
      <c r="J288" t="s">
        <v>21</v>
      </c>
      <c r="K288" t="s">
        <v>22</v>
      </c>
    </row>
    <row r="289" spans="1:11" x14ac:dyDescent="0.35">
      <c r="A289" t="s">
        <v>330</v>
      </c>
      <c r="B289" s="1">
        <v>45546</v>
      </c>
      <c r="C289" t="s">
        <v>24</v>
      </c>
      <c r="D289" t="s">
        <v>13</v>
      </c>
      <c r="E289" t="s">
        <v>39</v>
      </c>
      <c r="F289" t="s">
        <v>65</v>
      </c>
      <c r="G289">
        <v>14</v>
      </c>
      <c r="H289">
        <v>36707</v>
      </c>
      <c r="I289">
        <v>513898</v>
      </c>
      <c r="J289" t="s">
        <v>21</v>
      </c>
      <c r="K289" t="s">
        <v>33</v>
      </c>
    </row>
    <row r="290" spans="1:11" x14ac:dyDescent="0.35">
      <c r="A290" t="s">
        <v>331</v>
      </c>
      <c r="B290" s="1">
        <v>45604</v>
      </c>
      <c r="C290" t="s">
        <v>24</v>
      </c>
      <c r="D290" t="s">
        <v>19</v>
      </c>
      <c r="E290" t="s">
        <v>39</v>
      </c>
      <c r="F290" t="s">
        <v>55</v>
      </c>
      <c r="G290">
        <v>10</v>
      </c>
      <c r="H290">
        <v>29850</v>
      </c>
      <c r="I290">
        <v>298500</v>
      </c>
      <c r="J290" t="s">
        <v>16</v>
      </c>
      <c r="K290" t="s">
        <v>22</v>
      </c>
    </row>
    <row r="291" spans="1:11" x14ac:dyDescent="0.35">
      <c r="A291" t="s">
        <v>332</v>
      </c>
      <c r="B291" s="1">
        <v>45654</v>
      </c>
      <c r="C291" t="s">
        <v>43</v>
      </c>
      <c r="D291" t="s">
        <v>19</v>
      </c>
      <c r="E291" t="s">
        <v>39</v>
      </c>
      <c r="F291" t="s">
        <v>55</v>
      </c>
      <c r="G291">
        <v>9</v>
      </c>
      <c r="H291">
        <v>11482</v>
      </c>
      <c r="I291">
        <v>103338</v>
      </c>
      <c r="J291" t="s">
        <v>27</v>
      </c>
      <c r="K291" t="s">
        <v>33</v>
      </c>
    </row>
    <row r="292" spans="1:11" x14ac:dyDescent="0.35">
      <c r="A292" t="s">
        <v>333</v>
      </c>
      <c r="B292" s="1">
        <v>45548</v>
      </c>
      <c r="C292" t="s">
        <v>24</v>
      </c>
      <c r="D292" t="s">
        <v>19</v>
      </c>
      <c r="E292" t="s">
        <v>14</v>
      </c>
      <c r="F292" t="s">
        <v>15</v>
      </c>
      <c r="G292">
        <v>3</v>
      </c>
      <c r="H292">
        <v>24595</v>
      </c>
      <c r="I292">
        <v>73785</v>
      </c>
      <c r="J292" t="s">
        <v>21</v>
      </c>
      <c r="K292" t="s">
        <v>33</v>
      </c>
    </row>
    <row r="293" spans="1:11" x14ac:dyDescent="0.35">
      <c r="A293" t="s">
        <v>334</v>
      </c>
      <c r="B293" s="1">
        <v>45582</v>
      </c>
      <c r="C293" t="s">
        <v>24</v>
      </c>
      <c r="D293" t="s">
        <v>38</v>
      </c>
      <c r="E293" t="s">
        <v>25</v>
      </c>
      <c r="F293" t="s">
        <v>48</v>
      </c>
      <c r="G293">
        <v>18</v>
      </c>
      <c r="H293">
        <v>49578</v>
      </c>
      <c r="I293">
        <v>892404</v>
      </c>
      <c r="J293" t="s">
        <v>21</v>
      </c>
      <c r="K293" t="s">
        <v>33</v>
      </c>
    </row>
    <row r="294" spans="1:11" x14ac:dyDescent="0.35">
      <c r="A294" t="s">
        <v>335</v>
      </c>
      <c r="B294" s="1">
        <v>45342</v>
      </c>
      <c r="C294" t="s">
        <v>29</v>
      </c>
      <c r="D294" t="s">
        <v>38</v>
      </c>
      <c r="E294" t="s">
        <v>39</v>
      </c>
      <c r="F294" t="s">
        <v>65</v>
      </c>
      <c r="G294">
        <v>15</v>
      </c>
      <c r="H294">
        <v>2987</v>
      </c>
      <c r="I294">
        <v>44805</v>
      </c>
      <c r="J294" t="s">
        <v>16</v>
      </c>
      <c r="K294" t="s">
        <v>17</v>
      </c>
    </row>
    <row r="295" spans="1:11" x14ac:dyDescent="0.35">
      <c r="A295" t="s">
        <v>336</v>
      </c>
      <c r="B295" s="1">
        <v>45310</v>
      </c>
      <c r="C295" t="s">
        <v>43</v>
      </c>
      <c r="D295" t="s">
        <v>19</v>
      </c>
      <c r="E295" t="s">
        <v>14</v>
      </c>
      <c r="F295" t="s">
        <v>20</v>
      </c>
      <c r="G295">
        <v>14</v>
      </c>
      <c r="H295">
        <v>39383</v>
      </c>
      <c r="I295">
        <v>551362</v>
      </c>
      <c r="J295" t="s">
        <v>21</v>
      </c>
      <c r="K295" t="s">
        <v>17</v>
      </c>
    </row>
    <row r="296" spans="1:11" x14ac:dyDescent="0.35">
      <c r="A296" t="s">
        <v>337</v>
      </c>
      <c r="B296" s="1">
        <v>45651</v>
      </c>
      <c r="C296" t="s">
        <v>12</v>
      </c>
      <c r="D296" t="s">
        <v>19</v>
      </c>
      <c r="E296" t="s">
        <v>30</v>
      </c>
      <c r="F296" t="s">
        <v>44</v>
      </c>
      <c r="G296">
        <v>11</v>
      </c>
      <c r="H296">
        <v>36149</v>
      </c>
      <c r="I296">
        <v>397639</v>
      </c>
      <c r="J296" t="s">
        <v>21</v>
      </c>
      <c r="K296" t="s">
        <v>33</v>
      </c>
    </row>
    <row r="297" spans="1:11" x14ac:dyDescent="0.35">
      <c r="A297" t="s">
        <v>338</v>
      </c>
      <c r="B297" s="1">
        <v>45566</v>
      </c>
      <c r="C297" t="s">
        <v>29</v>
      </c>
      <c r="D297" t="s">
        <v>35</v>
      </c>
      <c r="E297" t="s">
        <v>39</v>
      </c>
      <c r="F297" t="s">
        <v>40</v>
      </c>
      <c r="G297">
        <v>11</v>
      </c>
      <c r="H297">
        <v>32060</v>
      </c>
      <c r="I297">
        <v>352660</v>
      </c>
      <c r="J297" t="s">
        <v>16</v>
      </c>
      <c r="K297" t="s">
        <v>17</v>
      </c>
    </row>
    <row r="298" spans="1:11" x14ac:dyDescent="0.35">
      <c r="A298" t="s">
        <v>339</v>
      </c>
      <c r="B298" s="1">
        <v>45656</v>
      </c>
      <c r="C298" t="s">
        <v>24</v>
      </c>
      <c r="D298" t="s">
        <v>13</v>
      </c>
      <c r="E298" t="s">
        <v>39</v>
      </c>
      <c r="F298" t="s">
        <v>55</v>
      </c>
      <c r="G298">
        <v>15</v>
      </c>
      <c r="H298">
        <v>35452</v>
      </c>
      <c r="I298">
        <v>531780</v>
      </c>
      <c r="J298" t="s">
        <v>32</v>
      </c>
      <c r="K298" t="s">
        <v>17</v>
      </c>
    </row>
    <row r="299" spans="1:11" x14ac:dyDescent="0.35">
      <c r="A299" t="s">
        <v>340</v>
      </c>
      <c r="B299" s="1">
        <v>45371</v>
      </c>
      <c r="C299" t="s">
        <v>24</v>
      </c>
      <c r="D299" t="s">
        <v>38</v>
      </c>
      <c r="E299" t="s">
        <v>30</v>
      </c>
      <c r="F299" t="s">
        <v>81</v>
      </c>
      <c r="G299">
        <v>14</v>
      </c>
      <c r="H299">
        <v>34299</v>
      </c>
      <c r="I299">
        <v>480186</v>
      </c>
      <c r="J299" t="s">
        <v>21</v>
      </c>
      <c r="K299" t="s">
        <v>22</v>
      </c>
    </row>
    <row r="300" spans="1:11" x14ac:dyDescent="0.35">
      <c r="A300" t="s">
        <v>341</v>
      </c>
      <c r="B300" s="1">
        <v>45305</v>
      </c>
      <c r="C300" t="s">
        <v>24</v>
      </c>
      <c r="D300" t="s">
        <v>38</v>
      </c>
      <c r="E300" t="s">
        <v>39</v>
      </c>
      <c r="F300" t="s">
        <v>55</v>
      </c>
      <c r="G300">
        <v>14</v>
      </c>
      <c r="H300">
        <v>43125</v>
      </c>
      <c r="I300">
        <v>603750</v>
      </c>
      <c r="J300" t="s">
        <v>16</v>
      </c>
      <c r="K300" t="s">
        <v>17</v>
      </c>
    </row>
    <row r="301" spans="1:11" x14ac:dyDescent="0.35">
      <c r="A301" t="s">
        <v>342</v>
      </c>
      <c r="B301" s="1">
        <v>45507</v>
      </c>
      <c r="C301" t="s">
        <v>37</v>
      </c>
      <c r="D301" t="s">
        <v>38</v>
      </c>
      <c r="E301" t="s">
        <v>25</v>
      </c>
      <c r="F301" t="s">
        <v>58</v>
      </c>
      <c r="G301">
        <v>14</v>
      </c>
      <c r="H301">
        <v>40234</v>
      </c>
      <c r="I301">
        <v>563276</v>
      </c>
      <c r="J301" t="s">
        <v>27</v>
      </c>
      <c r="K301" t="s">
        <v>33</v>
      </c>
    </row>
    <row r="302" spans="1:11" x14ac:dyDescent="0.35">
      <c r="A302" t="s">
        <v>343</v>
      </c>
      <c r="B302" s="1">
        <v>45347</v>
      </c>
      <c r="C302" t="s">
        <v>24</v>
      </c>
      <c r="D302" t="s">
        <v>13</v>
      </c>
      <c r="E302" t="s">
        <v>14</v>
      </c>
      <c r="F302" t="s">
        <v>20</v>
      </c>
      <c r="G302">
        <v>10</v>
      </c>
      <c r="H302">
        <v>7555</v>
      </c>
      <c r="I302">
        <v>75550</v>
      </c>
      <c r="J302" t="s">
        <v>27</v>
      </c>
      <c r="K302" t="s">
        <v>22</v>
      </c>
    </row>
    <row r="303" spans="1:11" x14ac:dyDescent="0.35">
      <c r="A303" t="s">
        <v>344</v>
      </c>
      <c r="B303" s="1">
        <v>45607</v>
      </c>
      <c r="C303" t="s">
        <v>24</v>
      </c>
      <c r="D303" t="s">
        <v>19</v>
      </c>
      <c r="E303" t="s">
        <v>39</v>
      </c>
      <c r="F303" t="s">
        <v>65</v>
      </c>
      <c r="G303">
        <v>20</v>
      </c>
      <c r="H303">
        <v>26185</v>
      </c>
      <c r="I303">
        <v>523700</v>
      </c>
      <c r="J303" t="s">
        <v>21</v>
      </c>
      <c r="K303" t="s">
        <v>22</v>
      </c>
    </row>
    <row r="304" spans="1:11" x14ac:dyDescent="0.35">
      <c r="A304" t="s">
        <v>345</v>
      </c>
      <c r="B304" s="1">
        <v>45408</v>
      </c>
      <c r="C304" t="s">
        <v>29</v>
      </c>
      <c r="D304" t="s">
        <v>35</v>
      </c>
      <c r="E304" t="s">
        <v>39</v>
      </c>
      <c r="F304" t="s">
        <v>65</v>
      </c>
      <c r="G304">
        <v>16</v>
      </c>
      <c r="H304">
        <v>40443</v>
      </c>
      <c r="I304">
        <v>647088</v>
      </c>
      <c r="J304" t="s">
        <v>16</v>
      </c>
      <c r="K304" t="s">
        <v>17</v>
      </c>
    </row>
    <row r="305" spans="1:11" x14ac:dyDescent="0.35">
      <c r="A305" t="s">
        <v>346</v>
      </c>
      <c r="B305" s="1">
        <v>45360</v>
      </c>
      <c r="C305" t="s">
        <v>43</v>
      </c>
      <c r="D305" t="s">
        <v>13</v>
      </c>
      <c r="E305" t="s">
        <v>39</v>
      </c>
      <c r="F305" t="s">
        <v>40</v>
      </c>
      <c r="G305">
        <v>19</v>
      </c>
      <c r="H305">
        <v>48873</v>
      </c>
      <c r="I305">
        <v>928587</v>
      </c>
      <c r="J305" t="s">
        <v>21</v>
      </c>
      <c r="K305" t="s">
        <v>33</v>
      </c>
    </row>
    <row r="306" spans="1:11" x14ac:dyDescent="0.35">
      <c r="A306" t="s">
        <v>347</v>
      </c>
      <c r="B306" s="1">
        <v>45561</v>
      </c>
      <c r="C306" t="s">
        <v>12</v>
      </c>
      <c r="D306" t="s">
        <v>19</v>
      </c>
      <c r="E306" t="s">
        <v>14</v>
      </c>
      <c r="F306" t="s">
        <v>15</v>
      </c>
      <c r="G306">
        <v>20</v>
      </c>
      <c r="H306">
        <v>14329</v>
      </c>
      <c r="I306">
        <v>286580</v>
      </c>
      <c r="J306" t="s">
        <v>32</v>
      </c>
      <c r="K306" t="s">
        <v>17</v>
      </c>
    </row>
    <row r="307" spans="1:11" x14ac:dyDescent="0.35">
      <c r="A307" t="s">
        <v>348</v>
      </c>
      <c r="B307" s="1">
        <v>45435</v>
      </c>
      <c r="C307" t="s">
        <v>43</v>
      </c>
      <c r="D307" t="s">
        <v>19</v>
      </c>
      <c r="E307" t="s">
        <v>14</v>
      </c>
      <c r="F307" t="s">
        <v>15</v>
      </c>
      <c r="G307">
        <v>12</v>
      </c>
      <c r="H307">
        <v>40162</v>
      </c>
      <c r="I307">
        <v>481944</v>
      </c>
      <c r="J307" t="s">
        <v>21</v>
      </c>
      <c r="K307" t="s">
        <v>22</v>
      </c>
    </row>
    <row r="308" spans="1:11" x14ac:dyDescent="0.35">
      <c r="A308" t="s">
        <v>349</v>
      </c>
      <c r="B308" s="1">
        <v>45512</v>
      </c>
      <c r="C308" t="s">
        <v>24</v>
      </c>
      <c r="D308" t="s">
        <v>13</v>
      </c>
      <c r="E308" t="s">
        <v>25</v>
      </c>
      <c r="F308" t="s">
        <v>26</v>
      </c>
      <c r="G308">
        <v>18</v>
      </c>
      <c r="H308">
        <v>16320</v>
      </c>
      <c r="I308">
        <v>293760</v>
      </c>
      <c r="J308" t="s">
        <v>27</v>
      </c>
      <c r="K308" t="s">
        <v>33</v>
      </c>
    </row>
    <row r="309" spans="1:11" x14ac:dyDescent="0.35">
      <c r="A309" t="s">
        <v>350</v>
      </c>
      <c r="B309" s="1">
        <v>45378</v>
      </c>
      <c r="C309" t="s">
        <v>37</v>
      </c>
      <c r="D309" t="s">
        <v>19</v>
      </c>
      <c r="E309" t="s">
        <v>14</v>
      </c>
      <c r="F309" t="s">
        <v>20</v>
      </c>
      <c r="G309">
        <v>8</v>
      </c>
      <c r="H309">
        <v>10249</v>
      </c>
      <c r="I309">
        <v>81992</v>
      </c>
      <c r="J309" t="s">
        <v>21</v>
      </c>
      <c r="K309" t="s">
        <v>17</v>
      </c>
    </row>
    <row r="310" spans="1:11" x14ac:dyDescent="0.35">
      <c r="A310" t="s">
        <v>351</v>
      </c>
      <c r="B310" s="1">
        <v>45454</v>
      </c>
      <c r="C310" t="s">
        <v>29</v>
      </c>
      <c r="D310" t="s">
        <v>19</v>
      </c>
      <c r="E310" t="s">
        <v>30</v>
      </c>
      <c r="F310" t="s">
        <v>31</v>
      </c>
      <c r="G310">
        <v>13</v>
      </c>
      <c r="H310">
        <v>29369</v>
      </c>
      <c r="I310">
        <v>381797</v>
      </c>
      <c r="J310" t="s">
        <v>27</v>
      </c>
      <c r="K310" t="s">
        <v>17</v>
      </c>
    </row>
    <row r="311" spans="1:11" x14ac:dyDescent="0.35">
      <c r="A311" t="s">
        <v>352</v>
      </c>
      <c r="B311" s="1">
        <v>45553</v>
      </c>
      <c r="C311" t="s">
        <v>29</v>
      </c>
      <c r="D311" t="s">
        <v>35</v>
      </c>
      <c r="E311" t="s">
        <v>39</v>
      </c>
      <c r="F311" t="s">
        <v>55</v>
      </c>
      <c r="G311">
        <v>10</v>
      </c>
      <c r="H311">
        <v>5842</v>
      </c>
      <c r="I311">
        <v>58420</v>
      </c>
      <c r="J311" t="s">
        <v>21</v>
      </c>
      <c r="K311" t="s">
        <v>22</v>
      </c>
    </row>
    <row r="312" spans="1:11" x14ac:dyDescent="0.35">
      <c r="A312" t="s">
        <v>353</v>
      </c>
      <c r="B312" s="1">
        <v>45527</v>
      </c>
      <c r="C312" t="s">
        <v>37</v>
      </c>
      <c r="D312" t="s">
        <v>35</v>
      </c>
      <c r="E312" t="s">
        <v>25</v>
      </c>
      <c r="F312" t="s">
        <v>48</v>
      </c>
      <c r="G312">
        <v>6</v>
      </c>
      <c r="H312">
        <v>24636</v>
      </c>
      <c r="I312">
        <v>147816</v>
      </c>
      <c r="J312" t="s">
        <v>16</v>
      </c>
      <c r="K312" t="s">
        <v>22</v>
      </c>
    </row>
    <row r="313" spans="1:11" x14ac:dyDescent="0.35">
      <c r="A313" t="s">
        <v>354</v>
      </c>
      <c r="B313" s="1">
        <v>45450</v>
      </c>
      <c r="C313" t="s">
        <v>29</v>
      </c>
      <c r="D313" t="s">
        <v>13</v>
      </c>
      <c r="E313" t="s">
        <v>39</v>
      </c>
      <c r="F313" t="s">
        <v>40</v>
      </c>
      <c r="G313">
        <v>5</v>
      </c>
      <c r="H313">
        <v>43718</v>
      </c>
      <c r="I313">
        <v>218590</v>
      </c>
      <c r="J313" t="s">
        <v>27</v>
      </c>
      <c r="K313" t="s">
        <v>17</v>
      </c>
    </row>
    <row r="314" spans="1:11" x14ac:dyDescent="0.35">
      <c r="A314" t="s">
        <v>355</v>
      </c>
      <c r="B314" s="1">
        <v>45604</v>
      </c>
      <c r="C314" t="s">
        <v>37</v>
      </c>
      <c r="D314" t="s">
        <v>13</v>
      </c>
      <c r="E314" t="s">
        <v>14</v>
      </c>
      <c r="F314" t="s">
        <v>15</v>
      </c>
      <c r="G314">
        <v>20</v>
      </c>
      <c r="H314">
        <v>32500</v>
      </c>
      <c r="I314">
        <v>650000</v>
      </c>
      <c r="J314" t="s">
        <v>32</v>
      </c>
      <c r="K314" t="s">
        <v>33</v>
      </c>
    </row>
    <row r="315" spans="1:11" x14ac:dyDescent="0.35">
      <c r="A315" t="s">
        <v>356</v>
      </c>
      <c r="B315" s="1">
        <v>45615</v>
      </c>
      <c r="C315" t="s">
        <v>24</v>
      </c>
      <c r="D315" t="s">
        <v>19</v>
      </c>
      <c r="E315" t="s">
        <v>25</v>
      </c>
      <c r="F315" t="s">
        <v>26</v>
      </c>
      <c r="G315">
        <v>9</v>
      </c>
      <c r="H315">
        <v>9697</v>
      </c>
      <c r="I315">
        <v>87273</v>
      </c>
      <c r="J315" t="s">
        <v>21</v>
      </c>
      <c r="K315" t="s">
        <v>33</v>
      </c>
    </row>
    <row r="316" spans="1:11" x14ac:dyDescent="0.35">
      <c r="A316" t="s">
        <v>357</v>
      </c>
      <c r="B316" s="1">
        <v>45456</v>
      </c>
      <c r="C316" t="s">
        <v>12</v>
      </c>
      <c r="D316" t="s">
        <v>13</v>
      </c>
      <c r="E316" t="s">
        <v>25</v>
      </c>
      <c r="F316" t="s">
        <v>26</v>
      </c>
      <c r="G316">
        <v>3</v>
      </c>
      <c r="H316">
        <v>10292</v>
      </c>
      <c r="I316">
        <v>30876</v>
      </c>
      <c r="J316" t="s">
        <v>32</v>
      </c>
      <c r="K316" t="s">
        <v>33</v>
      </c>
    </row>
    <row r="317" spans="1:11" x14ac:dyDescent="0.35">
      <c r="A317" t="s">
        <v>358</v>
      </c>
      <c r="B317" s="1">
        <v>45577</v>
      </c>
      <c r="C317" t="s">
        <v>29</v>
      </c>
      <c r="D317" t="s">
        <v>19</v>
      </c>
      <c r="E317" t="s">
        <v>14</v>
      </c>
      <c r="F317" t="s">
        <v>20</v>
      </c>
      <c r="G317">
        <v>17</v>
      </c>
      <c r="H317">
        <v>5485</v>
      </c>
      <c r="I317">
        <v>93245</v>
      </c>
      <c r="J317" t="s">
        <v>16</v>
      </c>
      <c r="K317" t="s">
        <v>17</v>
      </c>
    </row>
    <row r="318" spans="1:11" x14ac:dyDescent="0.35">
      <c r="A318" t="s">
        <v>359</v>
      </c>
      <c r="B318" s="1">
        <v>45344</v>
      </c>
      <c r="C318" t="s">
        <v>43</v>
      </c>
      <c r="D318" t="s">
        <v>19</v>
      </c>
      <c r="E318" t="s">
        <v>25</v>
      </c>
      <c r="F318" t="s">
        <v>58</v>
      </c>
      <c r="G318">
        <v>1</v>
      </c>
      <c r="H318">
        <v>46640</v>
      </c>
      <c r="I318">
        <v>46640</v>
      </c>
      <c r="J318" t="s">
        <v>21</v>
      </c>
      <c r="K318" t="s">
        <v>33</v>
      </c>
    </row>
    <row r="319" spans="1:11" x14ac:dyDescent="0.35">
      <c r="A319" t="s">
        <v>360</v>
      </c>
      <c r="B319" s="1">
        <v>45528</v>
      </c>
      <c r="C319" t="s">
        <v>12</v>
      </c>
      <c r="D319" t="s">
        <v>19</v>
      </c>
      <c r="E319" t="s">
        <v>25</v>
      </c>
      <c r="F319" t="s">
        <v>26</v>
      </c>
      <c r="G319">
        <v>1</v>
      </c>
      <c r="H319">
        <v>8870</v>
      </c>
      <c r="I319">
        <v>8870</v>
      </c>
      <c r="J319" t="s">
        <v>16</v>
      </c>
      <c r="K319" t="s">
        <v>22</v>
      </c>
    </row>
    <row r="320" spans="1:11" x14ac:dyDescent="0.35">
      <c r="A320" t="s">
        <v>361</v>
      </c>
      <c r="B320" s="1">
        <v>45346</v>
      </c>
      <c r="C320" t="s">
        <v>12</v>
      </c>
      <c r="D320" t="s">
        <v>38</v>
      </c>
      <c r="E320" t="s">
        <v>14</v>
      </c>
      <c r="F320" t="s">
        <v>15</v>
      </c>
      <c r="G320">
        <v>12</v>
      </c>
      <c r="H320">
        <v>11144</v>
      </c>
      <c r="I320">
        <v>133728</v>
      </c>
      <c r="J320" t="s">
        <v>27</v>
      </c>
      <c r="K320" t="s">
        <v>22</v>
      </c>
    </row>
    <row r="321" spans="1:11" x14ac:dyDescent="0.35">
      <c r="A321" t="s">
        <v>362</v>
      </c>
      <c r="B321" s="1">
        <v>45657</v>
      </c>
      <c r="C321" t="s">
        <v>12</v>
      </c>
      <c r="D321" t="s">
        <v>13</v>
      </c>
      <c r="E321" t="s">
        <v>25</v>
      </c>
      <c r="F321" t="s">
        <v>26</v>
      </c>
      <c r="G321">
        <v>13</v>
      </c>
      <c r="H321">
        <v>18064</v>
      </c>
      <c r="I321">
        <v>234832</v>
      </c>
      <c r="J321" t="s">
        <v>16</v>
      </c>
      <c r="K321" t="s">
        <v>17</v>
      </c>
    </row>
    <row r="322" spans="1:11" x14ac:dyDescent="0.35">
      <c r="A322" t="s">
        <v>363</v>
      </c>
      <c r="B322" s="1">
        <v>45423</v>
      </c>
      <c r="C322" t="s">
        <v>24</v>
      </c>
      <c r="D322" t="s">
        <v>13</v>
      </c>
      <c r="E322" t="s">
        <v>39</v>
      </c>
      <c r="F322" t="s">
        <v>65</v>
      </c>
      <c r="G322">
        <v>2</v>
      </c>
      <c r="H322">
        <v>25200</v>
      </c>
      <c r="I322">
        <v>50400</v>
      </c>
      <c r="J322" t="s">
        <v>16</v>
      </c>
      <c r="K322" t="s">
        <v>17</v>
      </c>
    </row>
    <row r="323" spans="1:11" x14ac:dyDescent="0.35">
      <c r="A323" t="s">
        <v>364</v>
      </c>
      <c r="B323" s="1">
        <v>45320</v>
      </c>
      <c r="C323" t="s">
        <v>29</v>
      </c>
      <c r="D323" t="s">
        <v>38</v>
      </c>
      <c r="E323" t="s">
        <v>25</v>
      </c>
      <c r="F323" t="s">
        <v>58</v>
      </c>
      <c r="G323">
        <v>6</v>
      </c>
      <c r="H323">
        <v>22966</v>
      </c>
      <c r="I323">
        <v>137796</v>
      </c>
      <c r="J323" t="s">
        <v>21</v>
      </c>
      <c r="K323" t="s">
        <v>17</v>
      </c>
    </row>
    <row r="324" spans="1:11" x14ac:dyDescent="0.35">
      <c r="A324" t="s">
        <v>365</v>
      </c>
      <c r="B324" s="1">
        <v>45498</v>
      </c>
      <c r="C324" t="s">
        <v>37</v>
      </c>
      <c r="D324" t="s">
        <v>38</v>
      </c>
      <c r="E324" t="s">
        <v>30</v>
      </c>
      <c r="F324" t="s">
        <v>44</v>
      </c>
      <c r="G324">
        <v>17</v>
      </c>
      <c r="H324">
        <v>35507</v>
      </c>
      <c r="I324">
        <v>603619</v>
      </c>
      <c r="J324" t="s">
        <v>21</v>
      </c>
      <c r="K324" t="s">
        <v>17</v>
      </c>
    </row>
    <row r="325" spans="1:11" x14ac:dyDescent="0.35">
      <c r="A325" t="s">
        <v>366</v>
      </c>
      <c r="B325" s="1">
        <v>45435</v>
      </c>
      <c r="C325" t="s">
        <v>37</v>
      </c>
      <c r="D325" t="s">
        <v>38</v>
      </c>
      <c r="E325" t="s">
        <v>39</v>
      </c>
      <c r="F325" t="s">
        <v>40</v>
      </c>
      <c r="G325">
        <v>13</v>
      </c>
      <c r="H325">
        <v>36664</v>
      </c>
      <c r="I325">
        <v>476632</v>
      </c>
      <c r="J325" t="s">
        <v>16</v>
      </c>
      <c r="K325" t="s">
        <v>33</v>
      </c>
    </row>
    <row r="326" spans="1:11" x14ac:dyDescent="0.35">
      <c r="A326" t="s">
        <v>367</v>
      </c>
      <c r="B326" s="1">
        <v>45325</v>
      </c>
      <c r="C326" t="s">
        <v>24</v>
      </c>
      <c r="D326" t="s">
        <v>19</v>
      </c>
      <c r="E326" t="s">
        <v>25</v>
      </c>
      <c r="F326" t="s">
        <v>58</v>
      </c>
      <c r="G326">
        <v>1</v>
      </c>
      <c r="H326">
        <v>29328</v>
      </c>
      <c r="I326">
        <v>29328</v>
      </c>
      <c r="J326" t="s">
        <v>27</v>
      </c>
      <c r="K326" t="s">
        <v>22</v>
      </c>
    </row>
    <row r="327" spans="1:11" x14ac:dyDescent="0.35">
      <c r="A327" t="s">
        <v>368</v>
      </c>
      <c r="B327" s="1">
        <v>45632</v>
      </c>
      <c r="C327" t="s">
        <v>29</v>
      </c>
      <c r="D327" t="s">
        <v>35</v>
      </c>
      <c r="E327" t="s">
        <v>25</v>
      </c>
      <c r="F327" t="s">
        <v>48</v>
      </c>
      <c r="G327">
        <v>16</v>
      </c>
      <c r="H327">
        <v>17975</v>
      </c>
      <c r="I327">
        <v>287600</v>
      </c>
      <c r="J327" t="s">
        <v>21</v>
      </c>
      <c r="K327" t="s">
        <v>33</v>
      </c>
    </row>
    <row r="328" spans="1:11" x14ac:dyDescent="0.35">
      <c r="A328" t="s">
        <v>369</v>
      </c>
      <c r="B328" s="1">
        <v>45497</v>
      </c>
      <c r="C328" t="s">
        <v>24</v>
      </c>
      <c r="D328" t="s">
        <v>19</v>
      </c>
      <c r="E328" t="s">
        <v>39</v>
      </c>
      <c r="F328" t="s">
        <v>65</v>
      </c>
      <c r="G328">
        <v>7</v>
      </c>
      <c r="H328">
        <v>48516</v>
      </c>
      <c r="I328">
        <v>339612</v>
      </c>
      <c r="J328" t="s">
        <v>16</v>
      </c>
      <c r="K328" t="s">
        <v>17</v>
      </c>
    </row>
    <row r="329" spans="1:11" x14ac:dyDescent="0.35">
      <c r="A329" t="s">
        <v>370</v>
      </c>
      <c r="B329" s="1">
        <v>45618</v>
      </c>
      <c r="C329" t="s">
        <v>12</v>
      </c>
      <c r="D329" t="s">
        <v>35</v>
      </c>
      <c r="E329" t="s">
        <v>30</v>
      </c>
      <c r="F329" t="s">
        <v>44</v>
      </c>
      <c r="G329">
        <v>12</v>
      </c>
      <c r="H329">
        <v>6016</v>
      </c>
      <c r="I329">
        <v>72192</v>
      </c>
      <c r="J329" t="s">
        <v>32</v>
      </c>
      <c r="K329" t="s">
        <v>17</v>
      </c>
    </row>
    <row r="330" spans="1:11" x14ac:dyDescent="0.35">
      <c r="A330" t="s">
        <v>371</v>
      </c>
      <c r="B330" s="1">
        <v>45558</v>
      </c>
      <c r="C330" t="s">
        <v>12</v>
      </c>
      <c r="D330" t="s">
        <v>38</v>
      </c>
      <c r="E330" t="s">
        <v>39</v>
      </c>
      <c r="F330" t="s">
        <v>40</v>
      </c>
      <c r="G330">
        <v>19</v>
      </c>
      <c r="H330">
        <v>33800</v>
      </c>
      <c r="I330">
        <v>642200</v>
      </c>
      <c r="J330" t="s">
        <v>21</v>
      </c>
      <c r="K330" t="s">
        <v>17</v>
      </c>
    </row>
    <row r="331" spans="1:11" x14ac:dyDescent="0.35">
      <c r="A331" t="s">
        <v>372</v>
      </c>
      <c r="B331" s="1">
        <v>45494</v>
      </c>
      <c r="C331" t="s">
        <v>24</v>
      </c>
      <c r="D331" t="s">
        <v>38</v>
      </c>
      <c r="E331" t="s">
        <v>30</v>
      </c>
      <c r="F331" t="s">
        <v>44</v>
      </c>
      <c r="G331">
        <v>19</v>
      </c>
      <c r="H331">
        <v>20293</v>
      </c>
      <c r="I331">
        <v>385567</v>
      </c>
      <c r="J331" t="s">
        <v>32</v>
      </c>
      <c r="K331" t="s">
        <v>17</v>
      </c>
    </row>
    <row r="332" spans="1:11" x14ac:dyDescent="0.35">
      <c r="A332" t="s">
        <v>373</v>
      </c>
      <c r="B332" s="1">
        <v>45643</v>
      </c>
      <c r="C332" t="s">
        <v>29</v>
      </c>
      <c r="D332" t="s">
        <v>35</v>
      </c>
      <c r="E332" t="s">
        <v>25</v>
      </c>
      <c r="F332" t="s">
        <v>26</v>
      </c>
      <c r="G332">
        <v>6</v>
      </c>
      <c r="H332">
        <v>30489</v>
      </c>
      <c r="I332">
        <v>182934</v>
      </c>
      <c r="J332" t="s">
        <v>16</v>
      </c>
      <c r="K332" t="s">
        <v>33</v>
      </c>
    </row>
    <row r="333" spans="1:11" x14ac:dyDescent="0.35">
      <c r="A333" t="s">
        <v>374</v>
      </c>
      <c r="B333" s="1">
        <v>45652</v>
      </c>
      <c r="C333" t="s">
        <v>43</v>
      </c>
      <c r="D333" t="s">
        <v>19</v>
      </c>
      <c r="E333" t="s">
        <v>39</v>
      </c>
      <c r="F333" t="s">
        <v>40</v>
      </c>
      <c r="G333">
        <v>8</v>
      </c>
      <c r="H333">
        <v>40751</v>
      </c>
      <c r="I333">
        <v>326008</v>
      </c>
      <c r="J333" t="s">
        <v>21</v>
      </c>
      <c r="K333" t="s">
        <v>17</v>
      </c>
    </row>
    <row r="334" spans="1:11" x14ac:dyDescent="0.35">
      <c r="A334" t="s">
        <v>375</v>
      </c>
      <c r="B334" s="1">
        <v>45579</v>
      </c>
      <c r="C334" t="s">
        <v>43</v>
      </c>
      <c r="D334" t="s">
        <v>35</v>
      </c>
      <c r="E334" t="s">
        <v>25</v>
      </c>
      <c r="F334" t="s">
        <v>48</v>
      </c>
      <c r="G334">
        <v>5</v>
      </c>
      <c r="H334">
        <v>32377</v>
      </c>
      <c r="I334">
        <v>161885</v>
      </c>
      <c r="J334" t="s">
        <v>27</v>
      </c>
      <c r="K334" t="s">
        <v>22</v>
      </c>
    </row>
    <row r="335" spans="1:11" x14ac:dyDescent="0.35">
      <c r="A335" t="s">
        <v>376</v>
      </c>
      <c r="B335" s="1">
        <v>45451</v>
      </c>
      <c r="C335" t="s">
        <v>24</v>
      </c>
      <c r="D335" t="s">
        <v>38</v>
      </c>
      <c r="E335" t="s">
        <v>30</v>
      </c>
      <c r="F335" t="s">
        <v>44</v>
      </c>
      <c r="G335">
        <v>7</v>
      </c>
      <c r="H335">
        <v>12473</v>
      </c>
      <c r="I335">
        <v>87311</v>
      </c>
      <c r="J335" t="s">
        <v>32</v>
      </c>
      <c r="K335" t="s">
        <v>33</v>
      </c>
    </row>
    <row r="336" spans="1:11" x14ac:dyDescent="0.35">
      <c r="A336" t="s">
        <v>377</v>
      </c>
      <c r="B336" s="1">
        <v>45585</v>
      </c>
      <c r="C336" t="s">
        <v>37</v>
      </c>
      <c r="D336" t="s">
        <v>13</v>
      </c>
      <c r="E336" t="s">
        <v>25</v>
      </c>
      <c r="F336" t="s">
        <v>58</v>
      </c>
      <c r="G336">
        <v>19</v>
      </c>
      <c r="H336">
        <v>48255</v>
      </c>
      <c r="I336">
        <v>916845</v>
      </c>
      <c r="J336" t="s">
        <v>16</v>
      </c>
      <c r="K336" t="s">
        <v>33</v>
      </c>
    </row>
    <row r="337" spans="1:11" x14ac:dyDescent="0.35">
      <c r="A337" t="s">
        <v>378</v>
      </c>
      <c r="B337" s="1">
        <v>45475</v>
      </c>
      <c r="C337" t="s">
        <v>24</v>
      </c>
      <c r="D337" t="s">
        <v>38</v>
      </c>
      <c r="E337" t="s">
        <v>14</v>
      </c>
      <c r="F337" t="s">
        <v>20</v>
      </c>
      <c r="G337">
        <v>12</v>
      </c>
      <c r="H337">
        <v>2213</v>
      </c>
      <c r="I337">
        <v>26556</v>
      </c>
      <c r="J337" t="s">
        <v>16</v>
      </c>
      <c r="K337" t="s">
        <v>33</v>
      </c>
    </row>
    <row r="338" spans="1:11" x14ac:dyDescent="0.35">
      <c r="A338" t="s">
        <v>379</v>
      </c>
      <c r="B338" s="1">
        <v>45444</v>
      </c>
      <c r="C338" t="s">
        <v>24</v>
      </c>
      <c r="D338" t="s">
        <v>38</v>
      </c>
      <c r="E338" t="s">
        <v>39</v>
      </c>
      <c r="F338" t="s">
        <v>55</v>
      </c>
      <c r="G338">
        <v>11</v>
      </c>
      <c r="H338">
        <v>37641</v>
      </c>
      <c r="I338">
        <v>414051</v>
      </c>
      <c r="J338" t="s">
        <v>27</v>
      </c>
      <c r="K338" t="s">
        <v>17</v>
      </c>
    </row>
    <row r="339" spans="1:11" x14ac:dyDescent="0.35">
      <c r="A339" t="s">
        <v>380</v>
      </c>
      <c r="B339" s="1">
        <v>45441</v>
      </c>
      <c r="C339" t="s">
        <v>37</v>
      </c>
      <c r="D339" t="s">
        <v>35</v>
      </c>
      <c r="E339" t="s">
        <v>30</v>
      </c>
      <c r="F339" t="s">
        <v>81</v>
      </c>
      <c r="G339">
        <v>9</v>
      </c>
      <c r="H339">
        <v>41645</v>
      </c>
      <c r="I339">
        <v>374805</v>
      </c>
      <c r="J339" t="s">
        <v>27</v>
      </c>
      <c r="K339" t="s">
        <v>22</v>
      </c>
    </row>
    <row r="340" spans="1:11" x14ac:dyDescent="0.35">
      <c r="A340" t="s">
        <v>381</v>
      </c>
      <c r="B340" s="1">
        <v>45650</v>
      </c>
      <c r="C340" t="s">
        <v>29</v>
      </c>
      <c r="D340" t="s">
        <v>13</v>
      </c>
      <c r="E340" t="s">
        <v>14</v>
      </c>
      <c r="F340" t="s">
        <v>62</v>
      </c>
      <c r="G340">
        <v>5</v>
      </c>
      <c r="H340">
        <v>35294</v>
      </c>
      <c r="I340">
        <v>176470</v>
      </c>
      <c r="J340" t="s">
        <v>27</v>
      </c>
      <c r="K340" t="s">
        <v>22</v>
      </c>
    </row>
    <row r="341" spans="1:11" x14ac:dyDescent="0.35">
      <c r="A341" t="s">
        <v>382</v>
      </c>
      <c r="B341" s="1">
        <v>45516</v>
      </c>
      <c r="C341" t="s">
        <v>24</v>
      </c>
      <c r="D341" t="s">
        <v>38</v>
      </c>
      <c r="E341" t="s">
        <v>39</v>
      </c>
      <c r="F341" t="s">
        <v>40</v>
      </c>
      <c r="G341">
        <v>15</v>
      </c>
      <c r="H341">
        <v>5347</v>
      </c>
      <c r="I341">
        <v>80205</v>
      </c>
      <c r="J341" t="s">
        <v>16</v>
      </c>
      <c r="K341" t="s">
        <v>17</v>
      </c>
    </row>
    <row r="342" spans="1:11" x14ac:dyDescent="0.35">
      <c r="A342" t="s">
        <v>383</v>
      </c>
      <c r="B342" s="1">
        <v>45591</v>
      </c>
      <c r="C342" t="s">
        <v>24</v>
      </c>
      <c r="D342" t="s">
        <v>19</v>
      </c>
      <c r="E342" t="s">
        <v>25</v>
      </c>
      <c r="F342" t="s">
        <v>48</v>
      </c>
      <c r="G342">
        <v>7</v>
      </c>
      <c r="H342">
        <v>26063</v>
      </c>
      <c r="I342">
        <v>182441</v>
      </c>
      <c r="J342" t="s">
        <v>32</v>
      </c>
      <c r="K342" t="s">
        <v>17</v>
      </c>
    </row>
    <row r="343" spans="1:11" x14ac:dyDescent="0.35">
      <c r="A343" t="s">
        <v>384</v>
      </c>
      <c r="B343" s="1">
        <v>45365</v>
      </c>
      <c r="C343" t="s">
        <v>43</v>
      </c>
      <c r="D343" t="s">
        <v>35</v>
      </c>
      <c r="E343" t="s">
        <v>30</v>
      </c>
      <c r="F343" t="s">
        <v>44</v>
      </c>
      <c r="G343">
        <v>18</v>
      </c>
      <c r="H343">
        <v>32708</v>
      </c>
      <c r="I343">
        <v>588744</v>
      </c>
      <c r="J343" t="s">
        <v>21</v>
      </c>
      <c r="K343" t="s">
        <v>33</v>
      </c>
    </row>
    <row r="344" spans="1:11" x14ac:dyDescent="0.35">
      <c r="A344" t="s">
        <v>385</v>
      </c>
      <c r="B344" s="1">
        <v>45446</v>
      </c>
      <c r="C344" t="s">
        <v>12</v>
      </c>
      <c r="D344" t="s">
        <v>38</v>
      </c>
      <c r="E344" t="s">
        <v>14</v>
      </c>
      <c r="F344" t="s">
        <v>15</v>
      </c>
      <c r="G344">
        <v>14</v>
      </c>
      <c r="H344">
        <v>48603</v>
      </c>
      <c r="I344">
        <v>680442</v>
      </c>
      <c r="J344" t="s">
        <v>16</v>
      </c>
      <c r="K344" t="s">
        <v>33</v>
      </c>
    </row>
    <row r="345" spans="1:11" x14ac:dyDescent="0.35">
      <c r="A345" t="s">
        <v>386</v>
      </c>
      <c r="B345" s="1">
        <v>45445</v>
      </c>
      <c r="C345" t="s">
        <v>37</v>
      </c>
      <c r="D345" t="s">
        <v>35</v>
      </c>
      <c r="E345" t="s">
        <v>14</v>
      </c>
      <c r="F345" t="s">
        <v>20</v>
      </c>
      <c r="G345">
        <v>6</v>
      </c>
      <c r="H345">
        <v>14986</v>
      </c>
      <c r="I345">
        <v>89916</v>
      </c>
      <c r="J345" t="s">
        <v>21</v>
      </c>
      <c r="K345" t="s">
        <v>22</v>
      </c>
    </row>
    <row r="346" spans="1:11" x14ac:dyDescent="0.35">
      <c r="A346" t="s">
        <v>387</v>
      </c>
      <c r="B346" s="1">
        <v>45503</v>
      </c>
      <c r="C346" t="s">
        <v>24</v>
      </c>
      <c r="D346" t="s">
        <v>35</v>
      </c>
      <c r="E346" t="s">
        <v>30</v>
      </c>
      <c r="F346" t="s">
        <v>44</v>
      </c>
      <c r="G346">
        <v>17</v>
      </c>
      <c r="H346">
        <v>35515</v>
      </c>
      <c r="I346">
        <v>603755</v>
      </c>
      <c r="J346" t="s">
        <v>27</v>
      </c>
      <c r="K346" t="s">
        <v>22</v>
      </c>
    </row>
    <row r="347" spans="1:11" x14ac:dyDescent="0.35">
      <c r="A347" t="s">
        <v>388</v>
      </c>
      <c r="B347" s="1">
        <v>45378</v>
      </c>
      <c r="C347" t="s">
        <v>24</v>
      </c>
      <c r="D347" t="s">
        <v>35</v>
      </c>
      <c r="E347" t="s">
        <v>25</v>
      </c>
      <c r="F347" t="s">
        <v>48</v>
      </c>
      <c r="G347">
        <v>1</v>
      </c>
      <c r="H347">
        <v>18617</v>
      </c>
      <c r="I347">
        <v>18617</v>
      </c>
      <c r="J347" t="s">
        <v>32</v>
      </c>
      <c r="K347" t="s">
        <v>17</v>
      </c>
    </row>
    <row r="348" spans="1:11" x14ac:dyDescent="0.35">
      <c r="A348" t="s">
        <v>389</v>
      </c>
      <c r="B348" s="1">
        <v>45601</v>
      </c>
      <c r="C348" t="s">
        <v>24</v>
      </c>
      <c r="D348" t="s">
        <v>13</v>
      </c>
      <c r="E348" t="s">
        <v>30</v>
      </c>
      <c r="F348" t="s">
        <v>81</v>
      </c>
      <c r="G348">
        <v>17</v>
      </c>
      <c r="H348">
        <v>14297</v>
      </c>
      <c r="I348">
        <v>243049</v>
      </c>
      <c r="J348" t="s">
        <v>27</v>
      </c>
      <c r="K348" t="s">
        <v>22</v>
      </c>
    </row>
    <row r="349" spans="1:11" x14ac:dyDescent="0.35">
      <c r="A349" t="s">
        <v>390</v>
      </c>
      <c r="B349" s="1">
        <v>45473</v>
      </c>
      <c r="C349" t="s">
        <v>29</v>
      </c>
      <c r="D349" t="s">
        <v>38</v>
      </c>
      <c r="E349" t="s">
        <v>39</v>
      </c>
      <c r="F349" t="s">
        <v>55</v>
      </c>
      <c r="G349">
        <v>17</v>
      </c>
      <c r="H349">
        <v>32791</v>
      </c>
      <c r="I349">
        <v>557447</v>
      </c>
      <c r="J349" t="s">
        <v>27</v>
      </c>
      <c r="K349" t="s">
        <v>17</v>
      </c>
    </row>
    <row r="350" spans="1:11" x14ac:dyDescent="0.35">
      <c r="A350" t="s">
        <v>391</v>
      </c>
      <c r="B350" s="1">
        <v>45560</v>
      </c>
      <c r="C350" t="s">
        <v>12</v>
      </c>
      <c r="D350" t="s">
        <v>13</v>
      </c>
      <c r="E350" t="s">
        <v>39</v>
      </c>
      <c r="F350" t="s">
        <v>55</v>
      </c>
      <c r="G350">
        <v>3</v>
      </c>
      <c r="H350">
        <v>28015</v>
      </c>
      <c r="I350">
        <v>84045</v>
      </c>
      <c r="J350" t="s">
        <v>16</v>
      </c>
      <c r="K350" t="s">
        <v>33</v>
      </c>
    </row>
    <row r="351" spans="1:11" x14ac:dyDescent="0.35">
      <c r="A351" t="s">
        <v>392</v>
      </c>
      <c r="B351" s="1">
        <v>45353</v>
      </c>
      <c r="C351" t="s">
        <v>12</v>
      </c>
      <c r="D351" t="s">
        <v>19</v>
      </c>
      <c r="E351" t="s">
        <v>30</v>
      </c>
      <c r="F351" t="s">
        <v>81</v>
      </c>
      <c r="G351">
        <v>17</v>
      </c>
      <c r="H351">
        <v>11143</v>
      </c>
      <c r="I351">
        <v>189431</v>
      </c>
      <c r="J351" t="s">
        <v>16</v>
      </c>
      <c r="K351" t="s">
        <v>22</v>
      </c>
    </row>
    <row r="352" spans="1:11" x14ac:dyDescent="0.35">
      <c r="A352" t="s">
        <v>393</v>
      </c>
      <c r="B352" s="1">
        <v>45425</v>
      </c>
      <c r="C352" t="s">
        <v>24</v>
      </c>
      <c r="D352" t="s">
        <v>19</v>
      </c>
      <c r="E352" t="s">
        <v>30</v>
      </c>
      <c r="F352" t="s">
        <v>31</v>
      </c>
      <c r="G352">
        <v>14</v>
      </c>
      <c r="H352">
        <v>37364</v>
      </c>
      <c r="I352">
        <v>523096</v>
      </c>
      <c r="J352" t="s">
        <v>21</v>
      </c>
      <c r="K352" t="s">
        <v>33</v>
      </c>
    </row>
    <row r="353" spans="1:11" x14ac:dyDescent="0.35">
      <c r="A353" t="s">
        <v>394</v>
      </c>
      <c r="B353" s="1">
        <v>45385</v>
      </c>
      <c r="C353" t="s">
        <v>12</v>
      </c>
      <c r="D353" t="s">
        <v>38</v>
      </c>
      <c r="E353" t="s">
        <v>25</v>
      </c>
      <c r="F353" t="s">
        <v>48</v>
      </c>
      <c r="G353">
        <v>12</v>
      </c>
      <c r="H353">
        <v>29065</v>
      </c>
      <c r="I353">
        <v>348780</v>
      </c>
      <c r="J353" t="s">
        <v>21</v>
      </c>
      <c r="K353" t="s">
        <v>17</v>
      </c>
    </row>
    <row r="354" spans="1:11" x14ac:dyDescent="0.35">
      <c r="A354" t="s">
        <v>395</v>
      </c>
      <c r="B354" s="1">
        <v>45299</v>
      </c>
      <c r="C354" t="s">
        <v>29</v>
      </c>
      <c r="D354" t="s">
        <v>38</v>
      </c>
      <c r="E354" t="s">
        <v>39</v>
      </c>
      <c r="F354" t="s">
        <v>55</v>
      </c>
      <c r="G354">
        <v>17</v>
      </c>
      <c r="H354">
        <v>48349</v>
      </c>
      <c r="I354">
        <v>821933</v>
      </c>
      <c r="J354" t="s">
        <v>16</v>
      </c>
      <c r="K354" t="s">
        <v>33</v>
      </c>
    </row>
    <row r="355" spans="1:11" x14ac:dyDescent="0.35">
      <c r="A355" t="s">
        <v>396</v>
      </c>
      <c r="B355" s="1">
        <v>45426</v>
      </c>
      <c r="C355" t="s">
        <v>29</v>
      </c>
      <c r="D355" t="s">
        <v>13</v>
      </c>
      <c r="E355" t="s">
        <v>14</v>
      </c>
      <c r="F355" t="s">
        <v>15</v>
      </c>
      <c r="G355">
        <v>15</v>
      </c>
      <c r="H355">
        <v>6005</v>
      </c>
      <c r="I355">
        <v>90075</v>
      </c>
      <c r="J355" t="s">
        <v>32</v>
      </c>
      <c r="K355" t="s">
        <v>33</v>
      </c>
    </row>
    <row r="356" spans="1:11" x14ac:dyDescent="0.35">
      <c r="A356" t="s">
        <v>397</v>
      </c>
      <c r="B356" s="1">
        <v>45315</v>
      </c>
      <c r="C356" t="s">
        <v>29</v>
      </c>
      <c r="D356" t="s">
        <v>38</v>
      </c>
      <c r="E356" t="s">
        <v>25</v>
      </c>
      <c r="F356" t="s">
        <v>58</v>
      </c>
      <c r="G356">
        <v>8</v>
      </c>
      <c r="H356">
        <v>27510</v>
      </c>
      <c r="I356">
        <v>220080</v>
      </c>
      <c r="J356" t="s">
        <v>27</v>
      </c>
      <c r="K356" t="s">
        <v>22</v>
      </c>
    </row>
    <row r="357" spans="1:11" x14ac:dyDescent="0.35">
      <c r="A357" t="s">
        <v>398</v>
      </c>
      <c r="B357" s="1">
        <v>45405</v>
      </c>
      <c r="C357" t="s">
        <v>29</v>
      </c>
      <c r="D357" t="s">
        <v>13</v>
      </c>
      <c r="E357" t="s">
        <v>14</v>
      </c>
      <c r="F357" t="s">
        <v>62</v>
      </c>
      <c r="G357">
        <v>16</v>
      </c>
      <c r="H357">
        <v>33907</v>
      </c>
      <c r="I357">
        <v>542512</v>
      </c>
      <c r="J357" t="s">
        <v>16</v>
      </c>
      <c r="K357" t="s">
        <v>17</v>
      </c>
    </row>
    <row r="358" spans="1:11" x14ac:dyDescent="0.35">
      <c r="A358" t="s">
        <v>399</v>
      </c>
      <c r="B358" s="1">
        <v>45355</v>
      </c>
      <c r="C358" t="s">
        <v>37</v>
      </c>
      <c r="D358" t="s">
        <v>19</v>
      </c>
      <c r="E358" t="s">
        <v>14</v>
      </c>
      <c r="F358" t="s">
        <v>20</v>
      </c>
      <c r="G358">
        <v>18</v>
      </c>
      <c r="H358">
        <v>7205</v>
      </c>
      <c r="I358">
        <v>129690</v>
      </c>
      <c r="J358" t="s">
        <v>32</v>
      </c>
      <c r="K358" t="s">
        <v>17</v>
      </c>
    </row>
    <row r="359" spans="1:11" x14ac:dyDescent="0.35">
      <c r="A359" t="s">
        <v>400</v>
      </c>
      <c r="B359" s="1">
        <v>45319</v>
      </c>
      <c r="C359" t="s">
        <v>12</v>
      </c>
      <c r="D359" t="s">
        <v>19</v>
      </c>
      <c r="E359" t="s">
        <v>25</v>
      </c>
      <c r="F359" t="s">
        <v>48</v>
      </c>
      <c r="G359">
        <v>13</v>
      </c>
      <c r="H359">
        <v>26406</v>
      </c>
      <c r="I359">
        <v>343278</v>
      </c>
      <c r="J359" t="s">
        <v>32</v>
      </c>
      <c r="K359" t="s">
        <v>22</v>
      </c>
    </row>
    <row r="360" spans="1:11" x14ac:dyDescent="0.35">
      <c r="A360" t="s">
        <v>401</v>
      </c>
      <c r="B360" s="1">
        <v>45478</v>
      </c>
      <c r="C360" t="s">
        <v>37</v>
      </c>
      <c r="D360" t="s">
        <v>13</v>
      </c>
      <c r="E360" t="s">
        <v>30</v>
      </c>
      <c r="F360" t="s">
        <v>31</v>
      </c>
      <c r="G360">
        <v>13</v>
      </c>
      <c r="H360">
        <v>38882</v>
      </c>
      <c r="I360">
        <v>505466</v>
      </c>
      <c r="J360" t="s">
        <v>16</v>
      </c>
      <c r="K360" t="s">
        <v>33</v>
      </c>
    </row>
    <row r="361" spans="1:11" x14ac:dyDescent="0.35">
      <c r="A361" t="s">
        <v>402</v>
      </c>
      <c r="B361" s="1">
        <v>45584</v>
      </c>
      <c r="C361" t="s">
        <v>43</v>
      </c>
      <c r="D361" t="s">
        <v>13</v>
      </c>
      <c r="E361" t="s">
        <v>39</v>
      </c>
      <c r="F361" t="s">
        <v>65</v>
      </c>
      <c r="G361">
        <v>11</v>
      </c>
      <c r="H361">
        <v>41926</v>
      </c>
      <c r="I361">
        <v>461186</v>
      </c>
      <c r="J361" t="s">
        <v>21</v>
      </c>
      <c r="K361" t="s">
        <v>17</v>
      </c>
    </row>
    <row r="362" spans="1:11" x14ac:dyDescent="0.35">
      <c r="A362" t="s">
        <v>403</v>
      </c>
      <c r="B362" s="1">
        <v>45475</v>
      </c>
      <c r="C362" t="s">
        <v>37</v>
      </c>
      <c r="D362" t="s">
        <v>19</v>
      </c>
      <c r="E362" t="s">
        <v>39</v>
      </c>
      <c r="F362" t="s">
        <v>55</v>
      </c>
      <c r="G362">
        <v>18</v>
      </c>
      <c r="H362">
        <v>27403</v>
      </c>
      <c r="I362">
        <v>493254</v>
      </c>
      <c r="J362" t="s">
        <v>32</v>
      </c>
      <c r="K362" t="s">
        <v>22</v>
      </c>
    </row>
    <row r="363" spans="1:11" x14ac:dyDescent="0.35">
      <c r="A363" t="s">
        <v>404</v>
      </c>
      <c r="B363" s="1">
        <v>45383</v>
      </c>
      <c r="C363" t="s">
        <v>37</v>
      </c>
      <c r="D363" t="s">
        <v>38</v>
      </c>
      <c r="E363" t="s">
        <v>25</v>
      </c>
      <c r="F363" t="s">
        <v>48</v>
      </c>
      <c r="G363">
        <v>1</v>
      </c>
      <c r="H363">
        <v>24567</v>
      </c>
      <c r="I363">
        <v>24567</v>
      </c>
      <c r="J363" t="s">
        <v>27</v>
      </c>
      <c r="K363" t="s">
        <v>22</v>
      </c>
    </row>
    <row r="364" spans="1:11" x14ac:dyDescent="0.35">
      <c r="A364" t="s">
        <v>405</v>
      </c>
      <c r="B364" s="1">
        <v>45475</v>
      </c>
      <c r="C364" t="s">
        <v>12</v>
      </c>
      <c r="D364" t="s">
        <v>38</v>
      </c>
      <c r="E364" t="s">
        <v>25</v>
      </c>
      <c r="F364" t="s">
        <v>58</v>
      </c>
      <c r="G364">
        <v>20</v>
      </c>
      <c r="H364">
        <v>15690</v>
      </c>
      <c r="I364">
        <v>313800</v>
      </c>
      <c r="J364" t="s">
        <v>27</v>
      </c>
      <c r="K364" t="s">
        <v>17</v>
      </c>
    </row>
    <row r="365" spans="1:11" x14ac:dyDescent="0.35">
      <c r="A365" t="s">
        <v>406</v>
      </c>
      <c r="B365" s="1">
        <v>45647</v>
      </c>
      <c r="C365" t="s">
        <v>37</v>
      </c>
      <c r="D365" t="s">
        <v>38</v>
      </c>
      <c r="E365" t="s">
        <v>25</v>
      </c>
      <c r="F365" t="s">
        <v>26</v>
      </c>
      <c r="G365">
        <v>13</v>
      </c>
      <c r="H365">
        <v>22856</v>
      </c>
      <c r="I365">
        <v>297128</v>
      </c>
      <c r="J365" t="s">
        <v>32</v>
      </c>
      <c r="K365" t="s">
        <v>17</v>
      </c>
    </row>
    <row r="366" spans="1:11" x14ac:dyDescent="0.35">
      <c r="A366" t="s">
        <v>407</v>
      </c>
      <c r="B366" s="1">
        <v>45542</v>
      </c>
      <c r="C366" t="s">
        <v>37</v>
      </c>
      <c r="D366" t="s">
        <v>35</v>
      </c>
      <c r="E366" t="s">
        <v>14</v>
      </c>
      <c r="F366" t="s">
        <v>15</v>
      </c>
      <c r="G366">
        <v>3</v>
      </c>
      <c r="H366">
        <v>29691</v>
      </c>
      <c r="I366">
        <v>89073</v>
      </c>
      <c r="J366" t="s">
        <v>16</v>
      </c>
      <c r="K366" t="s">
        <v>22</v>
      </c>
    </row>
    <row r="367" spans="1:11" x14ac:dyDescent="0.35">
      <c r="A367" t="s">
        <v>408</v>
      </c>
      <c r="B367" s="1">
        <v>45604</v>
      </c>
      <c r="C367" t="s">
        <v>43</v>
      </c>
      <c r="D367" t="s">
        <v>13</v>
      </c>
      <c r="E367" t="s">
        <v>14</v>
      </c>
      <c r="F367" t="s">
        <v>15</v>
      </c>
      <c r="G367">
        <v>14</v>
      </c>
      <c r="H367">
        <v>6692</v>
      </c>
      <c r="I367">
        <v>93688</v>
      </c>
      <c r="J367" t="s">
        <v>32</v>
      </c>
      <c r="K367" t="s">
        <v>17</v>
      </c>
    </row>
    <row r="368" spans="1:11" x14ac:dyDescent="0.35">
      <c r="A368" t="s">
        <v>409</v>
      </c>
      <c r="B368" s="1">
        <v>45531</v>
      </c>
      <c r="C368" t="s">
        <v>43</v>
      </c>
      <c r="D368" t="s">
        <v>38</v>
      </c>
      <c r="E368" t="s">
        <v>25</v>
      </c>
      <c r="F368" t="s">
        <v>58</v>
      </c>
      <c r="G368">
        <v>19</v>
      </c>
      <c r="H368">
        <v>13340</v>
      </c>
      <c r="I368">
        <v>253460</v>
      </c>
      <c r="J368" t="s">
        <v>21</v>
      </c>
      <c r="K368" t="s">
        <v>17</v>
      </c>
    </row>
    <row r="369" spans="1:11" x14ac:dyDescent="0.35">
      <c r="A369" t="s">
        <v>410</v>
      </c>
      <c r="B369" s="1">
        <v>45634</v>
      </c>
      <c r="C369" t="s">
        <v>24</v>
      </c>
      <c r="D369" t="s">
        <v>13</v>
      </c>
      <c r="E369" t="s">
        <v>25</v>
      </c>
      <c r="F369" t="s">
        <v>58</v>
      </c>
      <c r="G369">
        <v>20</v>
      </c>
      <c r="H369">
        <v>28507</v>
      </c>
      <c r="I369">
        <v>570140</v>
      </c>
      <c r="J369" t="s">
        <v>27</v>
      </c>
      <c r="K369" t="s">
        <v>22</v>
      </c>
    </row>
    <row r="370" spans="1:11" x14ac:dyDescent="0.35">
      <c r="A370" t="s">
        <v>411</v>
      </c>
      <c r="B370" s="1">
        <v>45399</v>
      </c>
      <c r="C370" t="s">
        <v>43</v>
      </c>
      <c r="D370" t="s">
        <v>35</v>
      </c>
      <c r="E370" t="s">
        <v>39</v>
      </c>
      <c r="F370" t="s">
        <v>55</v>
      </c>
      <c r="G370">
        <v>8</v>
      </c>
      <c r="H370">
        <v>30711</v>
      </c>
      <c r="I370">
        <v>245688</v>
      </c>
      <c r="J370" t="s">
        <v>32</v>
      </c>
      <c r="K370" t="s">
        <v>17</v>
      </c>
    </row>
    <row r="371" spans="1:11" x14ac:dyDescent="0.35">
      <c r="A371" t="s">
        <v>412</v>
      </c>
      <c r="B371" s="1">
        <v>45425</v>
      </c>
      <c r="C371" t="s">
        <v>29</v>
      </c>
      <c r="D371" t="s">
        <v>13</v>
      </c>
      <c r="E371" t="s">
        <v>14</v>
      </c>
      <c r="F371" t="s">
        <v>15</v>
      </c>
      <c r="G371">
        <v>7</v>
      </c>
      <c r="H371">
        <v>40299</v>
      </c>
      <c r="I371">
        <v>282093</v>
      </c>
      <c r="J371" t="s">
        <v>32</v>
      </c>
      <c r="K371" t="s">
        <v>22</v>
      </c>
    </row>
    <row r="372" spans="1:11" x14ac:dyDescent="0.35">
      <c r="A372" t="s">
        <v>413</v>
      </c>
      <c r="B372" s="1">
        <v>45311</v>
      </c>
      <c r="C372" t="s">
        <v>24</v>
      </c>
      <c r="D372" t="s">
        <v>13</v>
      </c>
      <c r="E372" t="s">
        <v>30</v>
      </c>
      <c r="F372" t="s">
        <v>31</v>
      </c>
      <c r="G372">
        <v>14</v>
      </c>
      <c r="H372">
        <v>20827</v>
      </c>
      <c r="I372">
        <v>291578</v>
      </c>
      <c r="J372" t="s">
        <v>27</v>
      </c>
      <c r="K372" t="s">
        <v>33</v>
      </c>
    </row>
    <row r="373" spans="1:11" x14ac:dyDescent="0.35">
      <c r="A373" t="s">
        <v>414</v>
      </c>
      <c r="B373" s="1">
        <v>45469</v>
      </c>
      <c r="C373" t="s">
        <v>37</v>
      </c>
      <c r="D373" t="s">
        <v>19</v>
      </c>
      <c r="E373" t="s">
        <v>14</v>
      </c>
      <c r="F373" t="s">
        <v>20</v>
      </c>
      <c r="G373">
        <v>10</v>
      </c>
      <c r="H373">
        <v>42814</v>
      </c>
      <c r="I373">
        <v>428140</v>
      </c>
      <c r="J373" t="s">
        <v>16</v>
      </c>
      <c r="K373" t="s">
        <v>17</v>
      </c>
    </row>
    <row r="374" spans="1:11" x14ac:dyDescent="0.35">
      <c r="A374" t="s">
        <v>415</v>
      </c>
      <c r="B374" s="1">
        <v>45481</v>
      </c>
      <c r="C374" t="s">
        <v>24</v>
      </c>
      <c r="D374" t="s">
        <v>38</v>
      </c>
      <c r="E374" t="s">
        <v>30</v>
      </c>
      <c r="F374" t="s">
        <v>44</v>
      </c>
      <c r="G374">
        <v>8</v>
      </c>
      <c r="H374">
        <v>11050</v>
      </c>
      <c r="I374">
        <v>88400</v>
      </c>
      <c r="J374" t="s">
        <v>16</v>
      </c>
      <c r="K374" t="s">
        <v>33</v>
      </c>
    </row>
    <row r="375" spans="1:11" x14ac:dyDescent="0.35">
      <c r="A375" t="s">
        <v>416</v>
      </c>
      <c r="B375" s="1">
        <v>45510</v>
      </c>
      <c r="C375" t="s">
        <v>43</v>
      </c>
      <c r="D375" t="s">
        <v>19</v>
      </c>
      <c r="E375" t="s">
        <v>14</v>
      </c>
      <c r="F375" t="s">
        <v>62</v>
      </c>
      <c r="G375">
        <v>3</v>
      </c>
      <c r="H375">
        <v>11691</v>
      </c>
      <c r="I375">
        <v>35073</v>
      </c>
      <c r="J375" t="s">
        <v>32</v>
      </c>
      <c r="K375" t="s">
        <v>22</v>
      </c>
    </row>
    <row r="376" spans="1:11" x14ac:dyDescent="0.35">
      <c r="A376" t="s">
        <v>417</v>
      </c>
      <c r="B376" s="1">
        <v>45312</v>
      </c>
      <c r="C376" t="s">
        <v>29</v>
      </c>
      <c r="D376" t="s">
        <v>35</v>
      </c>
      <c r="E376" t="s">
        <v>30</v>
      </c>
      <c r="F376" t="s">
        <v>44</v>
      </c>
      <c r="G376">
        <v>4</v>
      </c>
      <c r="H376">
        <v>34173</v>
      </c>
      <c r="I376">
        <v>136692</v>
      </c>
      <c r="J376" t="s">
        <v>32</v>
      </c>
      <c r="K376" t="s">
        <v>17</v>
      </c>
    </row>
    <row r="377" spans="1:11" x14ac:dyDescent="0.35">
      <c r="A377" t="s">
        <v>418</v>
      </c>
      <c r="B377" s="1">
        <v>45317</v>
      </c>
      <c r="C377" t="s">
        <v>43</v>
      </c>
      <c r="D377" t="s">
        <v>35</v>
      </c>
      <c r="E377" t="s">
        <v>39</v>
      </c>
      <c r="F377" t="s">
        <v>40</v>
      </c>
      <c r="G377">
        <v>19</v>
      </c>
      <c r="H377">
        <v>19842</v>
      </c>
      <c r="I377">
        <v>376998</v>
      </c>
      <c r="J377" t="s">
        <v>27</v>
      </c>
      <c r="K377" t="s">
        <v>22</v>
      </c>
    </row>
    <row r="378" spans="1:11" x14ac:dyDescent="0.35">
      <c r="A378" t="s">
        <v>419</v>
      </c>
      <c r="B378" s="1">
        <v>45307</v>
      </c>
      <c r="C378" t="s">
        <v>12</v>
      </c>
      <c r="D378" t="s">
        <v>35</v>
      </c>
      <c r="E378" t="s">
        <v>25</v>
      </c>
      <c r="F378" t="s">
        <v>26</v>
      </c>
      <c r="G378">
        <v>2</v>
      </c>
      <c r="H378">
        <v>36692</v>
      </c>
      <c r="I378">
        <v>73384</v>
      </c>
      <c r="J378" t="s">
        <v>32</v>
      </c>
      <c r="K378" t="s">
        <v>17</v>
      </c>
    </row>
    <row r="379" spans="1:11" x14ac:dyDescent="0.35">
      <c r="A379" t="s">
        <v>420</v>
      </c>
      <c r="B379" s="1">
        <v>45418</v>
      </c>
      <c r="C379" t="s">
        <v>12</v>
      </c>
      <c r="D379" t="s">
        <v>35</v>
      </c>
      <c r="E379" t="s">
        <v>30</v>
      </c>
      <c r="F379" t="s">
        <v>31</v>
      </c>
      <c r="G379">
        <v>8</v>
      </c>
      <c r="H379">
        <v>46884</v>
      </c>
      <c r="I379">
        <v>375072</v>
      </c>
      <c r="J379" t="s">
        <v>32</v>
      </c>
      <c r="K379" t="s">
        <v>22</v>
      </c>
    </row>
    <row r="380" spans="1:11" x14ac:dyDescent="0.35">
      <c r="A380" t="s">
        <v>421</v>
      </c>
      <c r="B380" s="1">
        <v>45581</v>
      </c>
      <c r="C380" t="s">
        <v>43</v>
      </c>
      <c r="D380" t="s">
        <v>38</v>
      </c>
      <c r="E380" t="s">
        <v>14</v>
      </c>
      <c r="F380" t="s">
        <v>62</v>
      </c>
      <c r="G380">
        <v>14</v>
      </c>
      <c r="H380">
        <v>23287</v>
      </c>
      <c r="I380">
        <v>326018</v>
      </c>
      <c r="J380" t="s">
        <v>21</v>
      </c>
      <c r="K380" t="s">
        <v>17</v>
      </c>
    </row>
    <row r="381" spans="1:11" x14ac:dyDescent="0.35">
      <c r="A381" t="s">
        <v>422</v>
      </c>
      <c r="B381" s="1">
        <v>45638</v>
      </c>
      <c r="C381" t="s">
        <v>29</v>
      </c>
      <c r="D381" t="s">
        <v>35</v>
      </c>
      <c r="E381" t="s">
        <v>14</v>
      </c>
      <c r="F381" t="s">
        <v>20</v>
      </c>
      <c r="G381">
        <v>7</v>
      </c>
      <c r="H381">
        <v>5709</v>
      </c>
      <c r="I381">
        <v>39963</v>
      </c>
      <c r="J381" t="s">
        <v>32</v>
      </c>
      <c r="K381" t="s">
        <v>22</v>
      </c>
    </row>
    <row r="382" spans="1:11" x14ac:dyDescent="0.35">
      <c r="A382" t="s">
        <v>423</v>
      </c>
      <c r="B382" s="1">
        <v>45537</v>
      </c>
      <c r="C382" t="s">
        <v>43</v>
      </c>
      <c r="D382" t="s">
        <v>35</v>
      </c>
      <c r="E382" t="s">
        <v>14</v>
      </c>
      <c r="F382" t="s">
        <v>15</v>
      </c>
      <c r="G382">
        <v>5</v>
      </c>
      <c r="H382">
        <v>14786</v>
      </c>
      <c r="I382">
        <v>73930</v>
      </c>
      <c r="J382" t="s">
        <v>16</v>
      </c>
      <c r="K382" t="s">
        <v>33</v>
      </c>
    </row>
    <row r="383" spans="1:11" x14ac:dyDescent="0.35">
      <c r="A383" t="s">
        <v>424</v>
      </c>
      <c r="B383" s="1">
        <v>45488</v>
      </c>
      <c r="C383" t="s">
        <v>29</v>
      </c>
      <c r="D383" t="s">
        <v>19</v>
      </c>
      <c r="E383" t="s">
        <v>39</v>
      </c>
      <c r="F383" t="s">
        <v>40</v>
      </c>
      <c r="G383">
        <v>6</v>
      </c>
      <c r="H383">
        <v>12973</v>
      </c>
      <c r="I383">
        <v>77838</v>
      </c>
      <c r="J383" t="s">
        <v>27</v>
      </c>
      <c r="K383" t="s">
        <v>17</v>
      </c>
    </row>
    <row r="384" spans="1:11" x14ac:dyDescent="0.35">
      <c r="A384" t="s">
        <v>425</v>
      </c>
      <c r="B384" s="1">
        <v>45472</v>
      </c>
      <c r="C384" t="s">
        <v>29</v>
      </c>
      <c r="D384" t="s">
        <v>38</v>
      </c>
      <c r="E384" t="s">
        <v>39</v>
      </c>
      <c r="F384" t="s">
        <v>55</v>
      </c>
      <c r="G384">
        <v>11</v>
      </c>
      <c r="H384">
        <v>30592</v>
      </c>
      <c r="I384">
        <v>336512</v>
      </c>
      <c r="J384" t="s">
        <v>32</v>
      </c>
      <c r="K384" t="s">
        <v>22</v>
      </c>
    </row>
    <row r="385" spans="1:11" x14ac:dyDescent="0.35">
      <c r="A385" t="s">
        <v>426</v>
      </c>
      <c r="B385" s="1">
        <v>45629</v>
      </c>
      <c r="C385" t="s">
        <v>37</v>
      </c>
      <c r="D385" t="s">
        <v>35</v>
      </c>
      <c r="E385" t="s">
        <v>25</v>
      </c>
      <c r="F385" t="s">
        <v>48</v>
      </c>
      <c r="G385">
        <v>15</v>
      </c>
      <c r="H385">
        <v>9890</v>
      </c>
      <c r="I385">
        <v>148350</v>
      </c>
      <c r="J385" t="s">
        <v>16</v>
      </c>
      <c r="K385" t="s">
        <v>33</v>
      </c>
    </row>
    <row r="386" spans="1:11" x14ac:dyDescent="0.35">
      <c r="A386" t="s">
        <v>427</v>
      </c>
      <c r="B386" s="1">
        <v>45400</v>
      </c>
      <c r="C386" t="s">
        <v>29</v>
      </c>
      <c r="D386" t="s">
        <v>19</v>
      </c>
      <c r="E386" t="s">
        <v>14</v>
      </c>
      <c r="F386" t="s">
        <v>20</v>
      </c>
      <c r="G386">
        <v>3</v>
      </c>
      <c r="H386">
        <v>5261</v>
      </c>
      <c r="I386">
        <v>15783</v>
      </c>
      <c r="J386" t="s">
        <v>27</v>
      </c>
      <c r="K386" t="s">
        <v>17</v>
      </c>
    </row>
    <row r="387" spans="1:11" x14ac:dyDescent="0.35">
      <c r="A387" t="s">
        <v>428</v>
      </c>
      <c r="B387" s="1">
        <v>45375</v>
      </c>
      <c r="C387" t="s">
        <v>43</v>
      </c>
      <c r="D387" t="s">
        <v>19</v>
      </c>
      <c r="E387" t="s">
        <v>39</v>
      </c>
      <c r="F387" t="s">
        <v>55</v>
      </c>
      <c r="G387">
        <v>13</v>
      </c>
      <c r="H387">
        <v>41591</v>
      </c>
      <c r="I387">
        <v>540683</v>
      </c>
      <c r="J387" t="s">
        <v>21</v>
      </c>
      <c r="K387" t="s">
        <v>17</v>
      </c>
    </row>
    <row r="388" spans="1:11" x14ac:dyDescent="0.35">
      <c r="A388" t="s">
        <v>429</v>
      </c>
      <c r="B388" s="1">
        <v>45428</v>
      </c>
      <c r="C388" t="s">
        <v>37</v>
      </c>
      <c r="D388" t="s">
        <v>35</v>
      </c>
      <c r="E388" t="s">
        <v>25</v>
      </c>
      <c r="F388" t="s">
        <v>26</v>
      </c>
      <c r="G388">
        <v>16</v>
      </c>
      <c r="H388">
        <v>45362</v>
      </c>
      <c r="I388">
        <v>725792</v>
      </c>
      <c r="J388" t="s">
        <v>32</v>
      </c>
      <c r="K388" t="s">
        <v>33</v>
      </c>
    </row>
    <row r="389" spans="1:11" x14ac:dyDescent="0.35">
      <c r="A389" t="s">
        <v>430</v>
      </c>
      <c r="B389" s="1">
        <v>45585</v>
      </c>
      <c r="C389" t="s">
        <v>43</v>
      </c>
      <c r="D389" t="s">
        <v>35</v>
      </c>
      <c r="E389" t="s">
        <v>30</v>
      </c>
      <c r="F389" t="s">
        <v>31</v>
      </c>
      <c r="G389">
        <v>10</v>
      </c>
      <c r="H389">
        <v>39266</v>
      </c>
      <c r="I389">
        <v>392660</v>
      </c>
      <c r="J389" t="s">
        <v>21</v>
      </c>
      <c r="K389" t="s">
        <v>22</v>
      </c>
    </row>
    <row r="390" spans="1:11" x14ac:dyDescent="0.35">
      <c r="A390" t="s">
        <v>431</v>
      </c>
      <c r="B390" s="1">
        <v>45413</v>
      </c>
      <c r="C390" t="s">
        <v>29</v>
      </c>
      <c r="D390" t="s">
        <v>13</v>
      </c>
      <c r="E390" t="s">
        <v>39</v>
      </c>
      <c r="F390" t="s">
        <v>65</v>
      </c>
      <c r="G390">
        <v>20</v>
      </c>
      <c r="H390">
        <v>17386</v>
      </c>
      <c r="I390">
        <v>347720</v>
      </c>
      <c r="J390" t="s">
        <v>21</v>
      </c>
      <c r="K390" t="s">
        <v>22</v>
      </c>
    </row>
    <row r="391" spans="1:11" x14ac:dyDescent="0.35">
      <c r="A391" t="s">
        <v>432</v>
      </c>
      <c r="B391" s="1">
        <v>45534</v>
      </c>
      <c r="C391" t="s">
        <v>29</v>
      </c>
      <c r="D391" t="s">
        <v>19</v>
      </c>
      <c r="E391" t="s">
        <v>30</v>
      </c>
      <c r="F391" t="s">
        <v>81</v>
      </c>
      <c r="G391">
        <v>16</v>
      </c>
      <c r="H391">
        <v>22721</v>
      </c>
      <c r="I391">
        <v>363536</v>
      </c>
      <c r="J391" t="s">
        <v>27</v>
      </c>
      <c r="K391" t="s">
        <v>33</v>
      </c>
    </row>
    <row r="392" spans="1:11" x14ac:dyDescent="0.35">
      <c r="A392" t="s">
        <v>433</v>
      </c>
      <c r="B392" s="1">
        <v>45308</v>
      </c>
      <c r="C392" t="s">
        <v>43</v>
      </c>
      <c r="D392" t="s">
        <v>35</v>
      </c>
      <c r="E392" t="s">
        <v>25</v>
      </c>
      <c r="F392" t="s">
        <v>26</v>
      </c>
      <c r="G392">
        <v>18</v>
      </c>
      <c r="H392">
        <v>34264</v>
      </c>
      <c r="I392">
        <v>616752</v>
      </c>
      <c r="J392" t="s">
        <v>32</v>
      </c>
      <c r="K392" t="s">
        <v>33</v>
      </c>
    </row>
    <row r="393" spans="1:11" x14ac:dyDescent="0.35">
      <c r="A393" t="s">
        <v>434</v>
      </c>
      <c r="B393" s="1">
        <v>45604</v>
      </c>
      <c r="C393" t="s">
        <v>12</v>
      </c>
      <c r="D393" t="s">
        <v>19</v>
      </c>
      <c r="E393" t="s">
        <v>39</v>
      </c>
      <c r="F393" t="s">
        <v>65</v>
      </c>
      <c r="G393">
        <v>2</v>
      </c>
      <c r="H393">
        <v>30086</v>
      </c>
      <c r="I393">
        <v>60172</v>
      </c>
      <c r="J393" t="s">
        <v>27</v>
      </c>
      <c r="K393" t="s">
        <v>17</v>
      </c>
    </row>
    <row r="394" spans="1:11" x14ac:dyDescent="0.35">
      <c r="A394" t="s">
        <v>435</v>
      </c>
      <c r="B394" s="1">
        <v>45643</v>
      </c>
      <c r="C394" t="s">
        <v>12</v>
      </c>
      <c r="D394" t="s">
        <v>35</v>
      </c>
      <c r="E394" t="s">
        <v>30</v>
      </c>
      <c r="F394" t="s">
        <v>81</v>
      </c>
      <c r="G394">
        <v>16</v>
      </c>
      <c r="H394">
        <v>25533</v>
      </c>
      <c r="I394">
        <v>408528</v>
      </c>
      <c r="J394" t="s">
        <v>27</v>
      </c>
      <c r="K394" t="s">
        <v>17</v>
      </c>
    </row>
    <row r="395" spans="1:11" x14ac:dyDescent="0.35">
      <c r="A395" t="s">
        <v>436</v>
      </c>
      <c r="B395" s="1">
        <v>45612</v>
      </c>
      <c r="C395" t="s">
        <v>29</v>
      </c>
      <c r="D395" t="s">
        <v>38</v>
      </c>
      <c r="E395" t="s">
        <v>14</v>
      </c>
      <c r="F395" t="s">
        <v>62</v>
      </c>
      <c r="G395">
        <v>3</v>
      </c>
      <c r="H395">
        <v>19098</v>
      </c>
      <c r="I395">
        <v>57294</v>
      </c>
      <c r="J395" t="s">
        <v>27</v>
      </c>
      <c r="K395" t="s">
        <v>22</v>
      </c>
    </row>
    <row r="396" spans="1:11" x14ac:dyDescent="0.35">
      <c r="A396" t="s">
        <v>437</v>
      </c>
      <c r="B396" s="1">
        <v>45441</v>
      </c>
      <c r="C396" t="s">
        <v>29</v>
      </c>
      <c r="D396" t="s">
        <v>13</v>
      </c>
      <c r="E396" t="s">
        <v>25</v>
      </c>
      <c r="F396" t="s">
        <v>26</v>
      </c>
      <c r="G396">
        <v>1</v>
      </c>
      <c r="H396">
        <v>2495</v>
      </c>
      <c r="I396">
        <v>2495</v>
      </c>
      <c r="J396" t="s">
        <v>21</v>
      </c>
      <c r="K396" t="s">
        <v>33</v>
      </c>
    </row>
    <row r="397" spans="1:11" x14ac:dyDescent="0.35">
      <c r="A397" t="s">
        <v>438</v>
      </c>
      <c r="B397" s="1">
        <v>45621</v>
      </c>
      <c r="C397" t="s">
        <v>29</v>
      </c>
      <c r="D397" t="s">
        <v>13</v>
      </c>
      <c r="E397" t="s">
        <v>25</v>
      </c>
      <c r="F397" t="s">
        <v>26</v>
      </c>
      <c r="G397">
        <v>14</v>
      </c>
      <c r="H397">
        <v>5442</v>
      </c>
      <c r="I397">
        <v>76188</v>
      </c>
      <c r="J397" t="s">
        <v>21</v>
      </c>
      <c r="K397" t="s">
        <v>22</v>
      </c>
    </row>
    <row r="398" spans="1:11" x14ac:dyDescent="0.35">
      <c r="A398" t="s">
        <v>439</v>
      </c>
      <c r="B398" s="1">
        <v>45545</v>
      </c>
      <c r="C398" t="s">
        <v>43</v>
      </c>
      <c r="D398" t="s">
        <v>13</v>
      </c>
      <c r="E398" t="s">
        <v>30</v>
      </c>
      <c r="F398" t="s">
        <v>81</v>
      </c>
      <c r="G398">
        <v>12</v>
      </c>
      <c r="H398">
        <v>25882</v>
      </c>
      <c r="I398">
        <v>310584</v>
      </c>
      <c r="J398" t="s">
        <v>16</v>
      </c>
      <c r="K398" t="s">
        <v>17</v>
      </c>
    </row>
    <row r="399" spans="1:11" x14ac:dyDescent="0.35">
      <c r="A399" t="s">
        <v>440</v>
      </c>
      <c r="B399" s="1">
        <v>45614</v>
      </c>
      <c r="C399" t="s">
        <v>12</v>
      </c>
      <c r="D399" t="s">
        <v>35</v>
      </c>
      <c r="E399" t="s">
        <v>39</v>
      </c>
      <c r="F399" t="s">
        <v>65</v>
      </c>
      <c r="G399">
        <v>7</v>
      </c>
      <c r="H399">
        <v>45281</v>
      </c>
      <c r="I399">
        <v>316967</v>
      </c>
      <c r="J399" t="s">
        <v>27</v>
      </c>
      <c r="K399" t="s">
        <v>33</v>
      </c>
    </row>
    <row r="400" spans="1:11" x14ac:dyDescent="0.35">
      <c r="A400" t="s">
        <v>441</v>
      </c>
      <c r="B400" s="1">
        <v>45548</v>
      </c>
      <c r="C400" t="s">
        <v>29</v>
      </c>
      <c r="D400" t="s">
        <v>35</v>
      </c>
      <c r="E400" t="s">
        <v>39</v>
      </c>
      <c r="F400" t="s">
        <v>40</v>
      </c>
      <c r="G400">
        <v>2</v>
      </c>
      <c r="H400">
        <v>25017</v>
      </c>
      <c r="I400">
        <v>50034</v>
      </c>
      <c r="J400" t="s">
        <v>21</v>
      </c>
      <c r="K400" t="s">
        <v>33</v>
      </c>
    </row>
    <row r="401" spans="1:11" x14ac:dyDescent="0.35">
      <c r="A401" t="s">
        <v>442</v>
      </c>
      <c r="B401" s="1">
        <v>45585</v>
      </c>
      <c r="C401" t="s">
        <v>29</v>
      </c>
      <c r="D401" t="s">
        <v>38</v>
      </c>
      <c r="E401" t="s">
        <v>25</v>
      </c>
      <c r="F401" t="s">
        <v>48</v>
      </c>
      <c r="G401">
        <v>15</v>
      </c>
      <c r="H401">
        <v>25177</v>
      </c>
      <c r="I401">
        <v>377655</v>
      </c>
      <c r="J401" t="s">
        <v>27</v>
      </c>
      <c r="K401" t="s">
        <v>22</v>
      </c>
    </row>
    <row r="402" spans="1:11" x14ac:dyDescent="0.35">
      <c r="A402" t="s">
        <v>443</v>
      </c>
      <c r="B402" s="1">
        <v>45541</v>
      </c>
      <c r="C402" t="s">
        <v>37</v>
      </c>
      <c r="D402" t="s">
        <v>19</v>
      </c>
      <c r="E402" t="s">
        <v>25</v>
      </c>
      <c r="F402" t="s">
        <v>48</v>
      </c>
      <c r="G402">
        <v>13</v>
      </c>
      <c r="H402">
        <v>11942</v>
      </c>
      <c r="I402">
        <v>155246</v>
      </c>
      <c r="J402" t="s">
        <v>32</v>
      </c>
      <c r="K402" t="s">
        <v>33</v>
      </c>
    </row>
    <row r="403" spans="1:11" x14ac:dyDescent="0.35">
      <c r="A403" t="s">
        <v>444</v>
      </c>
      <c r="B403" s="1">
        <v>45489</v>
      </c>
      <c r="C403" t="s">
        <v>43</v>
      </c>
      <c r="D403" t="s">
        <v>13</v>
      </c>
      <c r="E403" t="s">
        <v>25</v>
      </c>
      <c r="F403" t="s">
        <v>48</v>
      </c>
      <c r="G403">
        <v>13</v>
      </c>
      <c r="H403">
        <v>18601</v>
      </c>
      <c r="I403">
        <v>241813</v>
      </c>
      <c r="J403" t="s">
        <v>27</v>
      </c>
      <c r="K403" t="s">
        <v>17</v>
      </c>
    </row>
    <row r="404" spans="1:11" x14ac:dyDescent="0.35">
      <c r="A404" t="s">
        <v>445</v>
      </c>
      <c r="B404" s="1">
        <v>45571</v>
      </c>
      <c r="C404" t="s">
        <v>29</v>
      </c>
      <c r="D404" t="s">
        <v>38</v>
      </c>
      <c r="E404" t="s">
        <v>30</v>
      </c>
      <c r="F404" t="s">
        <v>81</v>
      </c>
      <c r="G404">
        <v>16</v>
      </c>
      <c r="H404">
        <v>7378</v>
      </c>
      <c r="I404">
        <v>118048</v>
      </c>
      <c r="J404" t="s">
        <v>21</v>
      </c>
      <c r="K404" t="s">
        <v>22</v>
      </c>
    </row>
    <row r="405" spans="1:11" x14ac:dyDescent="0.35">
      <c r="A405" t="s">
        <v>446</v>
      </c>
      <c r="B405" s="1">
        <v>45468</v>
      </c>
      <c r="C405" t="s">
        <v>24</v>
      </c>
      <c r="D405" t="s">
        <v>19</v>
      </c>
      <c r="E405" t="s">
        <v>25</v>
      </c>
      <c r="F405" t="s">
        <v>48</v>
      </c>
      <c r="G405">
        <v>8</v>
      </c>
      <c r="H405">
        <v>4488</v>
      </c>
      <c r="I405">
        <v>35904</v>
      </c>
      <c r="J405" t="s">
        <v>27</v>
      </c>
      <c r="K405" t="s">
        <v>33</v>
      </c>
    </row>
    <row r="406" spans="1:11" x14ac:dyDescent="0.35">
      <c r="A406" t="s">
        <v>447</v>
      </c>
      <c r="B406" s="1">
        <v>45381</v>
      </c>
      <c r="C406" t="s">
        <v>29</v>
      </c>
      <c r="D406" t="s">
        <v>13</v>
      </c>
      <c r="E406" t="s">
        <v>14</v>
      </c>
      <c r="F406" t="s">
        <v>62</v>
      </c>
      <c r="G406">
        <v>13</v>
      </c>
      <c r="H406">
        <v>19906</v>
      </c>
      <c r="I406">
        <v>258778</v>
      </c>
      <c r="J406" t="s">
        <v>32</v>
      </c>
      <c r="K406" t="s">
        <v>22</v>
      </c>
    </row>
    <row r="407" spans="1:11" x14ac:dyDescent="0.35">
      <c r="A407" t="s">
        <v>448</v>
      </c>
      <c r="B407" s="1">
        <v>45552</v>
      </c>
      <c r="C407" t="s">
        <v>37</v>
      </c>
      <c r="D407" t="s">
        <v>13</v>
      </c>
      <c r="E407" t="s">
        <v>14</v>
      </c>
      <c r="F407" t="s">
        <v>62</v>
      </c>
      <c r="G407">
        <v>14</v>
      </c>
      <c r="H407">
        <v>35486</v>
      </c>
      <c r="I407">
        <v>496804</v>
      </c>
      <c r="J407" t="s">
        <v>21</v>
      </c>
      <c r="K407" t="s">
        <v>33</v>
      </c>
    </row>
    <row r="408" spans="1:11" x14ac:dyDescent="0.35">
      <c r="A408" t="s">
        <v>449</v>
      </c>
      <c r="B408" s="1">
        <v>45352</v>
      </c>
      <c r="C408" t="s">
        <v>12</v>
      </c>
      <c r="D408" t="s">
        <v>19</v>
      </c>
      <c r="E408" t="s">
        <v>25</v>
      </c>
      <c r="F408" t="s">
        <v>26</v>
      </c>
      <c r="G408">
        <v>12</v>
      </c>
      <c r="H408">
        <v>32725</v>
      </c>
      <c r="I408">
        <v>392700</v>
      </c>
      <c r="J408" t="s">
        <v>27</v>
      </c>
      <c r="K408" t="s">
        <v>33</v>
      </c>
    </row>
    <row r="409" spans="1:11" x14ac:dyDescent="0.35">
      <c r="A409" t="s">
        <v>450</v>
      </c>
      <c r="B409" s="1">
        <v>45463</v>
      </c>
      <c r="C409" t="s">
        <v>12</v>
      </c>
      <c r="D409" t="s">
        <v>19</v>
      </c>
      <c r="E409" t="s">
        <v>25</v>
      </c>
      <c r="F409" t="s">
        <v>58</v>
      </c>
      <c r="G409">
        <v>18</v>
      </c>
      <c r="H409">
        <v>18392</v>
      </c>
      <c r="I409">
        <v>331056</v>
      </c>
      <c r="J409" t="s">
        <v>27</v>
      </c>
      <c r="K409" t="s">
        <v>22</v>
      </c>
    </row>
    <row r="410" spans="1:11" x14ac:dyDescent="0.35">
      <c r="A410" t="s">
        <v>451</v>
      </c>
      <c r="B410" s="1">
        <v>45487</v>
      </c>
      <c r="C410" t="s">
        <v>29</v>
      </c>
      <c r="D410" t="s">
        <v>35</v>
      </c>
      <c r="E410" t="s">
        <v>39</v>
      </c>
      <c r="F410" t="s">
        <v>65</v>
      </c>
      <c r="G410">
        <v>7</v>
      </c>
      <c r="H410">
        <v>9201</v>
      </c>
      <c r="I410">
        <v>64407</v>
      </c>
      <c r="J410" t="s">
        <v>21</v>
      </c>
      <c r="K410" t="s">
        <v>33</v>
      </c>
    </row>
    <row r="411" spans="1:11" x14ac:dyDescent="0.35">
      <c r="A411" t="s">
        <v>452</v>
      </c>
      <c r="B411" s="1">
        <v>45583</v>
      </c>
      <c r="C411" t="s">
        <v>12</v>
      </c>
      <c r="D411" t="s">
        <v>38</v>
      </c>
      <c r="E411" t="s">
        <v>14</v>
      </c>
      <c r="F411" t="s">
        <v>15</v>
      </c>
      <c r="G411">
        <v>14</v>
      </c>
      <c r="H411">
        <v>36913</v>
      </c>
      <c r="I411">
        <v>516782</v>
      </c>
      <c r="J411" t="s">
        <v>16</v>
      </c>
      <c r="K411" t="s">
        <v>33</v>
      </c>
    </row>
    <row r="412" spans="1:11" x14ac:dyDescent="0.35">
      <c r="A412" t="s">
        <v>453</v>
      </c>
      <c r="B412" s="1">
        <v>45570</v>
      </c>
      <c r="C412" t="s">
        <v>12</v>
      </c>
      <c r="D412" t="s">
        <v>13</v>
      </c>
      <c r="E412" t="s">
        <v>30</v>
      </c>
      <c r="F412" t="s">
        <v>31</v>
      </c>
      <c r="G412">
        <v>6</v>
      </c>
      <c r="H412">
        <v>433</v>
      </c>
      <c r="I412">
        <v>2598</v>
      </c>
      <c r="J412" t="s">
        <v>21</v>
      </c>
      <c r="K412" t="s">
        <v>17</v>
      </c>
    </row>
    <row r="413" spans="1:11" x14ac:dyDescent="0.35">
      <c r="A413" t="s">
        <v>454</v>
      </c>
      <c r="B413" s="1">
        <v>45616</v>
      </c>
      <c r="C413" t="s">
        <v>24</v>
      </c>
      <c r="D413" t="s">
        <v>13</v>
      </c>
      <c r="E413" t="s">
        <v>30</v>
      </c>
      <c r="F413" t="s">
        <v>31</v>
      </c>
      <c r="G413">
        <v>1</v>
      </c>
      <c r="H413">
        <v>2984</v>
      </c>
      <c r="I413">
        <v>2984</v>
      </c>
      <c r="J413" t="s">
        <v>27</v>
      </c>
      <c r="K413" t="s">
        <v>22</v>
      </c>
    </row>
    <row r="414" spans="1:11" x14ac:dyDescent="0.35">
      <c r="A414" t="s">
        <v>455</v>
      </c>
      <c r="B414" s="1">
        <v>45352</v>
      </c>
      <c r="C414" t="s">
        <v>12</v>
      </c>
      <c r="D414" t="s">
        <v>35</v>
      </c>
      <c r="E414" t="s">
        <v>39</v>
      </c>
      <c r="F414" t="s">
        <v>65</v>
      </c>
      <c r="G414">
        <v>12</v>
      </c>
      <c r="H414">
        <v>19456</v>
      </c>
      <c r="I414">
        <v>233472</v>
      </c>
      <c r="J414" t="s">
        <v>21</v>
      </c>
      <c r="K414" t="s">
        <v>17</v>
      </c>
    </row>
    <row r="415" spans="1:11" x14ac:dyDescent="0.35">
      <c r="A415" t="s">
        <v>456</v>
      </c>
      <c r="B415" s="1">
        <v>45391</v>
      </c>
      <c r="C415" t="s">
        <v>37</v>
      </c>
      <c r="D415" t="s">
        <v>35</v>
      </c>
      <c r="E415" t="s">
        <v>25</v>
      </c>
      <c r="F415" t="s">
        <v>48</v>
      </c>
      <c r="G415">
        <v>7</v>
      </c>
      <c r="H415">
        <v>5191</v>
      </c>
      <c r="I415">
        <v>36337</v>
      </c>
      <c r="J415" t="s">
        <v>27</v>
      </c>
      <c r="K415" t="s">
        <v>22</v>
      </c>
    </row>
    <row r="416" spans="1:11" x14ac:dyDescent="0.35">
      <c r="A416" t="s">
        <v>457</v>
      </c>
      <c r="B416" s="1">
        <v>45539</v>
      </c>
      <c r="C416" t="s">
        <v>12</v>
      </c>
      <c r="D416" t="s">
        <v>19</v>
      </c>
      <c r="E416" t="s">
        <v>25</v>
      </c>
      <c r="F416" t="s">
        <v>26</v>
      </c>
      <c r="G416">
        <v>1</v>
      </c>
      <c r="H416">
        <v>5469</v>
      </c>
      <c r="I416">
        <v>5469</v>
      </c>
      <c r="J416" t="s">
        <v>16</v>
      </c>
      <c r="K416" t="s">
        <v>22</v>
      </c>
    </row>
    <row r="417" spans="1:11" x14ac:dyDescent="0.35">
      <c r="A417" t="s">
        <v>458</v>
      </c>
      <c r="B417" s="1">
        <v>45448</v>
      </c>
      <c r="C417" t="s">
        <v>37</v>
      </c>
      <c r="D417" t="s">
        <v>38</v>
      </c>
      <c r="E417" t="s">
        <v>25</v>
      </c>
      <c r="F417" t="s">
        <v>58</v>
      </c>
      <c r="G417">
        <v>20</v>
      </c>
      <c r="H417">
        <v>1528</v>
      </c>
      <c r="I417">
        <v>30560</v>
      </c>
      <c r="J417" t="s">
        <v>27</v>
      </c>
      <c r="K417" t="s">
        <v>33</v>
      </c>
    </row>
    <row r="418" spans="1:11" x14ac:dyDescent="0.35">
      <c r="A418" t="s">
        <v>459</v>
      </c>
      <c r="B418" s="1">
        <v>45319</v>
      </c>
      <c r="C418" t="s">
        <v>29</v>
      </c>
      <c r="D418" t="s">
        <v>13</v>
      </c>
      <c r="E418" t="s">
        <v>39</v>
      </c>
      <c r="F418" t="s">
        <v>65</v>
      </c>
      <c r="G418">
        <v>19</v>
      </c>
      <c r="H418">
        <v>43994</v>
      </c>
      <c r="I418">
        <v>835886</v>
      </c>
      <c r="J418" t="s">
        <v>16</v>
      </c>
      <c r="K418" t="s">
        <v>17</v>
      </c>
    </row>
    <row r="419" spans="1:11" x14ac:dyDescent="0.35">
      <c r="A419" t="s">
        <v>460</v>
      </c>
      <c r="B419" s="1">
        <v>45602</v>
      </c>
      <c r="C419" t="s">
        <v>29</v>
      </c>
      <c r="D419" t="s">
        <v>19</v>
      </c>
      <c r="E419" t="s">
        <v>39</v>
      </c>
      <c r="F419" t="s">
        <v>65</v>
      </c>
      <c r="G419">
        <v>17</v>
      </c>
      <c r="H419">
        <v>949</v>
      </c>
      <c r="I419">
        <v>16133</v>
      </c>
      <c r="J419" t="s">
        <v>21</v>
      </c>
      <c r="K419" t="s">
        <v>33</v>
      </c>
    </row>
    <row r="420" spans="1:11" x14ac:dyDescent="0.35">
      <c r="A420" t="s">
        <v>461</v>
      </c>
      <c r="B420" s="1">
        <v>45463</v>
      </c>
      <c r="C420" t="s">
        <v>12</v>
      </c>
      <c r="D420" t="s">
        <v>35</v>
      </c>
      <c r="E420" t="s">
        <v>14</v>
      </c>
      <c r="F420" t="s">
        <v>15</v>
      </c>
      <c r="G420">
        <v>7</v>
      </c>
      <c r="H420">
        <v>16405</v>
      </c>
      <c r="I420">
        <v>114835</v>
      </c>
      <c r="J420" t="s">
        <v>21</v>
      </c>
      <c r="K420" t="s">
        <v>17</v>
      </c>
    </row>
    <row r="421" spans="1:11" x14ac:dyDescent="0.35">
      <c r="A421" t="s">
        <v>462</v>
      </c>
      <c r="B421" s="1">
        <v>45605</v>
      </c>
      <c r="C421" t="s">
        <v>43</v>
      </c>
      <c r="D421" t="s">
        <v>13</v>
      </c>
      <c r="E421" t="s">
        <v>30</v>
      </c>
      <c r="F421" t="s">
        <v>81</v>
      </c>
      <c r="G421">
        <v>9</v>
      </c>
      <c r="H421">
        <v>28459</v>
      </c>
      <c r="I421">
        <v>256131</v>
      </c>
      <c r="J421" t="s">
        <v>16</v>
      </c>
      <c r="K421" t="s">
        <v>17</v>
      </c>
    </row>
    <row r="422" spans="1:11" x14ac:dyDescent="0.35">
      <c r="A422" t="s">
        <v>463</v>
      </c>
      <c r="B422" s="1">
        <v>45500</v>
      </c>
      <c r="C422" t="s">
        <v>29</v>
      </c>
      <c r="D422" t="s">
        <v>19</v>
      </c>
      <c r="E422" t="s">
        <v>39</v>
      </c>
      <c r="F422" t="s">
        <v>55</v>
      </c>
      <c r="G422">
        <v>13</v>
      </c>
      <c r="H422">
        <v>29805</v>
      </c>
      <c r="I422">
        <v>387465</v>
      </c>
      <c r="J422" t="s">
        <v>27</v>
      </c>
      <c r="K422" t="s">
        <v>33</v>
      </c>
    </row>
    <row r="423" spans="1:11" x14ac:dyDescent="0.35">
      <c r="A423" t="s">
        <v>464</v>
      </c>
      <c r="B423" s="1">
        <v>45379</v>
      </c>
      <c r="C423" t="s">
        <v>29</v>
      </c>
      <c r="D423" t="s">
        <v>38</v>
      </c>
      <c r="E423" t="s">
        <v>14</v>
      </c>
      <c r="F423" t="s">
        <v>62</v>
      </c>
      <c r="G423">
        <v>20</v>
      </c>
      <c r="H423">
        <v>45610</v>
      </c>
      <c r="I423">
        <v>912200</v>
      </c>
      <c r="J423" t="s">
        <v>21</v>
      </c>
      <c r="K423" t="s">
        <v>17</v>
      </c>
    </row>
    <row r="424" spans="1:11" x14ac:dyDescent="0.35">
      <c r="A424" t="s">
        <v>465</v>
      </c>
      <c r="B424" s="1">
        <v>45338</v>
      </c>
      <c r="C424" t="s">
        <v>43</v>
      </c>
      <c r="D424" t="s">
        <v>35</v>
      </c>
      <c r="E424" t="s">
        <v>30</v>
      </c>
      <c r="F424" t="s">
        <v>81</v>
      </c>
      <c r="G424">
        <v>5</v>
      </c>
      <c r="H424">
        <v>15366</v>
      </c>
      <c r="I424">
        <v>76830</v>
      </c>
      <c r="J424" t="s">
        <v>27</v>
      </c>
      <c r="K424" t="s">
        <v>33</v>
      </c>
    </row>
    <row r="425" spans="1:11" x14ac:dyDescent="0.35">
      <c r="A425" t="s">
        <v>466</v>
      </c>
      <c r="B425" s="1">
        <v>45440</v>
      </c>
      <c r="C425" t="s">
        <v>43</v>
      </c>
      <c r="D425" t="s">
        <v>38</v>
      </c>
      <c r="E425" t="s">
        <v>14</v>
      </c>
      <c r="F425" t="s">
        <v>20</v>
      </c>
      <c r="G425">
        <v>14</v>
      </c>
      <c r="H425">
        <v>1720</v>
      </c>
      <c r="I425">
        <v>24080</v>
      </c>
      <c r="J425" t="s">
        <v>27</v>
      </c>
      <c r="K425" t="s">
        <v>22</v>
      </c>
    </row>
    <row r="426" spans="1:11" x14ac:dyDescent="0.35">
      <c r="A426" t="s">
        <v>467</v>
      </c>
      <c r="B426" s="1">
        <v>45425</v>
      </c>
      <c r="C426" t="s">
        <v>12</v>
      </c>
      <c r="D426" t="s">
        <v>35</v>
      </c>
      <c r="E426" t="s">
        <v>25</v>
      </c>
      <c r="F426" t="s">
        <v>26</v>
      </c>
      <c r="G426">
        <v>3</v>
      </c>
      <c r="H426">
        <v>27506</v>
      </c>
      <c r="I426">
        <v>82518</v>
      </c>
      <c r="J426" t="s">
        <v>16</v>
      </c>
      <c r="K426" t="s">
        <v>17</v>
      </c>
    </row>
    <row r="427" spans="1:11" x14ac:dyDescent="0.35">
      <c r="A427" t="s">
        <v>468</v>
      </c>
      <c r="B427" s="1">
        <v>45600</v>
      </c>
      <c r="C427" t="s">
        <v>12</v>
      </c>
      <c r="D427" t="s">
        <v>35</v>
      </c>
      <c r="E427" t="s">
        <v>14</v>
      </c>
      <c r="F427" t="s">
        <v>20</v>
      </c>
      <c r="G427">
        <v>1</v>
      </c>
      <c r="H427">
        <v>17460</v>
      </c>
      <c r="I427">
        <v>17460</v>
      </c>
      <c r="J427" t="s">
        <v>27</v>
      </c>
      <c r="K427" t="s">
        <v>33</v>
      </c>
    </row>
    <row r="428" spans="1:11" x14ac:dyDescent="0.35">
      <c r="A428" t="s">
        <v>469</v>
      </c>
      <c r="B428" s="1">
        <v>45305</v>
      </c>
      <c r="C428" t="s">
        <v>37</v>
      </c>
      <c r="D428" t="s">
        <v>38</v>
      </c>
      <c r="E428" t="s">
        <v>30</v>
      </c>
      <c r="F428" t="s">
        <v>44</v>
      </c>
      <c r="G428">
        <v>10</v>
      </c>
      <c r="H428">
        <v>14630</v>
      </c>
      <c r="I428">
        <v>146300</v>
      </c>
      <c r="J428" t="s">
        <v>27</v>
      </c>
      <c r="K428" t="s">
        <v>17</v>
      </c>
    </row>
    <row r="429" spans="1:11" x14ac:dyDescent="0.35">
      <c r="A429" t="s">
        <v>470</v>
      </c>
      <c r="B429" s="1">
        <v>45495</v>
      </c>
      <c r="C429" t="s">
        <v>12</v>
      </c>
      <c r="D429" t="s">
        <v>19</v>
      </c>
      <c r="E429" t="s">
        <v>39</v>
      </c>
      <c r="F429" t="s">
        <v>65</v>
      </c>
      <c r="G429">
        <v>6</v>
      </c>
      <c r="H429">
        <v>4120</v>
      </c>
      <c r="I429">
        <v>24720</v>
      </c>
      <c r="J429" t="s">
        <v>16</v>
      </c>
      <c r="K429" t="s">
        <v>33</v>
      </c>
    </row>
    <row r="430" spans="1:11" x14ac:dyDescent="0.35">
      <c r="A430" t="s">
        <v>471</v>
      </c>
      <c r="B430" s="1">
        <v>45332</v>
      </c>
      <c r="C430" t="s">
        <v>29</v>
      </c>
      <c r="D430" t="s">
        <v>38</v>
      </c>
      <c r="E430" t="s">
        <v>14</v>
      </c>
      <c r="F430" t="s">
        <v>62</v>
      </c>
      <c r="G430">
        <v>17</v>
      </c>
      <c r="H430">
        <v>9496</v>
      </c>
      <c r="I430">
        <v>161432</v>
      </c>
      <c r="J430" t="s">
        <v>32</v>
      </c>
      <c r="K430" t="s">
        <v>33</v>
      </c>
    </row>
    <row r="431" spans="1:11" x14ac:dyDescent="0.35">
      <c r="A431" t="s">
        <v>472</v>
      </c>
      <c r="B431" s="1">
        <v>45528</v>
      </c>
      <c r="C431" t="s">
        <v>29</v>
      </c>
      <c r="D431" t="s">
        <v>19</v>
      </c>
      <c r="E431" t="s">
        <v>14</v>
      </c>
      <c r="F431" t="s">
        <v>20</v>
      </c>
      <c r="G431">
        <v>15</v>
      </c>
      <c r="H431">
        <v>41186</v>
      </c>
      <c r="I431">
        <v>617790</v>
      </c>
      <c r="J431" t="s">
        <v>32</v>
      </c>
      <c r="K431" t="s">
        <v>22</v>
      </c>
    </row>
    <row r="432" spans="1:11" x14ac:dyDescent="0.35">
      <c r="A432" t="s">
        <v>473</v>
      </c>
      <c r="B432" s="1">
        <v>45343</v>
      </c>
      <c r="C432" t="s">
        <v>37</v>
      </c>
      <c r="D432" t="s">
        <v>38</v>
      </c>
      <c r="E432" t="s">
        <v>30</v>
      </c>
      <c r="F432" t="s">
        <v>44</v>
      </c>
      <c r="G432">
        <v>18</v>
      </c>
      <c r="H432">
        <v>4876</v>
      </c>
      <c r="I432">
        <v>87768</v>
      </c>
      <c r="J432" t="s">
        <v>21</v>
      </c>
      <c r="K432" t="s">
        <v>33</v>
      </c>
    </row>
    <row r="433" spans="1:11" x14ac:dyDescent="0.35">
      <c r="A433" t="s">
        <v>474</v>
      </c>
      <c r="B433" s="1">
        <v>45538</v>
      </c>
      <c r="C433" t="s">
        <v>43</v>
      </c>
      <c r="D433" t="s">
        <v>35</v>
      </c>
      <c r="E433" t="s">
        <v>39</v>
      </c>
      <c r="F433" t="s">
        <v>55</v>
      </c>
      <c r="G433">
        <v>9</v>
      </c>
      <c r="H433">
        <v>30888</v>
      </c>
      <c r="I433">
        <v>277992</v>
      </c>
      <c r="J433" t="s">
        <v>21</v>
      </c>
      <c r="K433" t="s">
        <v>33</v>
      </c>
    </row>
    <row r="434" spans="1:11" x14ac:dyDescent="0.35">
      <c r="A434" t="s">
        <v>475</v>
      </c>
      <c r="B434" s="1">
        <v>45428</v>
      </c>
      <c r="C434" t="s">
        <v>12</v>
      </c>
      <c r="D434" t="s">
        <v>19</v>
      </c>
      <c r="E434" t="s">
        <v>25</v>
      </c>
      <c r="F434" t="s">
        <v>26</v>
      </c>
      <c r="G434">
        <v>16</v>
      </c>
      <c r="H434">
        <v>24017</v>
      </c>
      <c r="I434">
        <v>384272</v>
      </c>
      <c r="J434" t="s">
        <v>21</v>
      </c>
      <c r="K434" t="s">
        <v>33</v>
      </c>
    </row>
    <row r="435" spans="1:11" x14ac:dyDescent="0.35">
      <c r="A435" t="s">
        <v>476</v>
      </c>
      <c r="B435" s="1">
        <v>45636</v>
      </c>
      <c r="C435" t="s">
        <v>12</v>
      </c>
      <c r="D435" t="s">
        <v>35</v>
      </c>
      <c r="E435" t="s">
        <v>25</v>
      </c>
      <c r="F435" t="s">
        <v>26</v>
      </c>
      <c r="G435">
        <v>19</v>
      </c>
      <c r="H435">
        <v>30985</v>
      </c>
      <c r="I435">
        <v>588715</v>
      </c>
      <c r="J435" t="s">
        <v>27</v>
      </c>
      <c r="K435" t="s">
        <v>17</v>
      </c>
    </row>
    <row r="436" spans="1:11" x14ac:dyDescent="0.35">
      <c r="A436" t="s">
        <v>477</v>
      </c>
      <c r="B436" s="1">
        <v>45621</v>
      </c>
      <c r="C436" t="s">
        <v>43</v>
      </c>
      <c r="D436" t="s">
        <v>13</v>
      </c>
      <c r="E436" t="s">
        <v>30</v>
      </c>
      <c r="F436" t="s">
        <v>31</v>
      </c>
      <c r="G436">
        <v>17</v>
      </c>
      <c r="H436">
        <v>5694</v>
      </c>
      <c r="I436">
        <v>96798</v>
      </c>
      <c r="J436" t="s">
        <v>32</v>
      </c>
      <c r="K436" t="s">
        <v>17</v>
      </c>
    </row>
    <row r="437" spans="1:11" x14ac:dyDescent="0.35">
      <c r="A437" t="s">
        <v>478</v>
      </c>
      <c r="B437" s="1">
        <v>45437</v>
      </c>
      <c r="C437" t="s">
        <v>29</v>
      </c>
      <c r="D437" t="s">
        <v>13</v>
      </c>
      <c r="E437" t="s">
        <v>25</v>
      </c>
      <c r="F437" t="s">
        <v>48</v>
      </c>
      <c r="G437">
        <v>14</v>
      </c>
      <c r="H437">
        <v>45562</v>
      </c>
      <c r="I437">
        <v>637868</v>
      </c>
      <c r="J437" t="s">
        <v>27</v>
      </c>
      <c r="K437" t="s">
        <v>33</v>
      </c>
    </row>
    <row r="438" spans="1:11" x14ac:dyDescent="0.35">
      <c r="A438" t="s">
        <v>479</v>
      </c>
      <c r="B438" s="1">
        <v>45399</v>
      </c>
      <c r="C438" t="s">
        <v>43</v>
      </c>
      <c r="D438" t="s">
        <v>13</v>
      </c>
      <c r="E438" t="s">
        <v>25</v>
      </c>
      <c r="F438" t="s">
        <v>26</v>
      </c>
      <c r="G438">
        <v>9</v>
      </c>
      <c r="H438">
        <v>6524</v>
      </c>
      <c r="I438">
        <v>58716</v>
      </c>
      <c r="J438" t="s">
        <v>21</v>
      </c>
      <c r="K438" t="s">
        <v>33</v>
      </c>
    </row>
    <row r="439" spans="1:11" x14ac:dyDescent="0.35">
      <c r="A439" t="s">
        <v>480</v>
      </c>
      <c r="B439" s="1">
        <v>45417</v>
      </c>
      <c r="C439" t="s">
        <v>43</v>
      </c>
      <c r="D439" t="s">
        <v>38</v>
      </c>
      <c r="E439" t="s">
        <v>39</v>
      </c>
      <c r="F439" t="s">
        <v>55</v>
      </c>
      <c r="G439">
        <v>9</v>
      </c>
      <c r="H439">
        <v>6423</v>
      </c>
      <c r="I439">
        <v>57807</v>
      </c>
      <c r="J439" t="s">
        <v>21</v>
      </c>
      <c r="K439" t="s">
        <v>17</v>
      </c>
    </row>
    <row r="440" spans="1:11" x14ac:dyDescent="0.35">
      <c r="A440" t="s">
        <v>481</v>
      </c>
      <c r="B440" s="1">
        <v>45643</v>
      </c>
      <c r="C440" t="s">
        <v>12</v>
      </c>
      <c r="D440" t="s">
        <v>13</v>
      </c>
      <c r="E440" t="s">
        <v>30</v>
      </c>
      <c r="F440" t="s">
        <v>44</v>
      </c>
      <c r="G440">
        <v>8</v>
      </c>
      <c r="H440">
        <v>41586</v>
      </c>
      <c r="I440">
        <v>332688</v>
      </c>
      <c r="J440" t="s">
        <v>21</v>
      </c>
      <c r="K440" t="s">
        <v>33</v>
      </c>
    </row>
    <row r="441" spans="1:11" x14ac:dyDescent="0.35">
      <c r="A441" t="s">
        <v>482</v>
      </c>
      <c r="B441" s="1">
        <v>45554</v>
      </c>
      <c r="C441" t="s">
        <v>12</v>
      </c>
      <c r="D441" t="s">
        <v>13</v>
      </c>
      <c r="E441" t="s">
        <v>30</v>
      </c>
      <c r="F441" t="s">
        <v>81</v>
      </c>
      <c r="G441">
        <v>10</v>
      </c>
      <c r="H441">
        <v>22009</v>
      </c>
      <c r="I441">
        <v>220090</v>
      </c>
      <c r="J441" t="s">
        <v>32</v>
      </c>
      <c r="K441" t="s">
        <v>17</v>
      </c>
    </row>
    <row r="442" spans="1:11" x14ac:dyDescent="0.35">
      <c r="A442" t="s">
        <v>483</v>
      </c>
      <c r="B442" s="1">
        <v>45511</v>
      </c>
      <c r="C442" t="s">
        <v>29</v>
      </c>
      <c r="D442" t="s">
        <v>13</v>
      </c>
      <c r="E442" t="s">
        <v>14</v>
      </c>
      <c r="F442" t="s">
        <v>62</v>
      </c>
      <c r="G442">
        <v>16</v>
      </c>
      <c r="H442">
        <v>16092</v>
      </c>
      <c r="I442">
        <v>257472</v>
      </c>
      <c r="J442" t="s">
        <v>27</v>
      </c>
      <c r="K442" t="s">
        <v>33</v>
      </c>
    </row>
    <row r="443" spans="1:11" x14ac:dyDescent="0.35">
      <c r="A443" t="s">
        <v>484</v>
      </c>
      <c r="B443" s="1">
        <v>45636</v>
      </c>
      <c r="C443" t="s">
        <v>37</v>
      </c>
      <c r="D443" t="s">
        <v>19</v>
      </c>
      <c r="E443" t="s">
        <v>25</v>
      </c>
      <c r="F443" t="s">
        <v>58</v>
      </c>
      <c r="G443">
        <v>14</v>
      </c>
      <c r="H443">
        <v>23750</v>
      </c>
      <c r="I443">
        <v>332500</v>
      </c>
      <c r="J443" t="s">
        <v>32</v>
      </c>
      <c r="K443" t="s">
        <v>33</v>
      </c>
    </row>
    <row r="444" spans="1:11" x14ac:dyDescent="0.35">
      <c r="A444" t="s">
        <v>485</v>
      </c>
      <c r="B444" s="1">
        <v>45645</v>
      </c>
      <c r="C444" t="s">
        <v>12</v>
      </c>
      <c r="D444" t="s">
        <v>13</v>
      </c>
      <c r="E444" t="s">
        <v>39</v>
      </c>
      <c r="F444" t="s">
        <v>65</v>
      </c>
      <c r="G444">
        <v>1</v>
      </c>
      <c r="H444">
        <v>48614</v>
      </c>
      <c r="I444">
        <v>48614</v>
      </c>
      <c r="J444" t="s">
        <v>27</v>
      </c>
      <c r="K444" t="s">
        <v>17</v>
      </c>
    </row>
    <row r="445" spans="1:11" x14ac:dyDescent="0.35">
      <c r="A445" t="s">
        <v>486</v>
      </c>
      <c r="B445" s="1">
        <v>45294</v>
      </c>
      <c r="C445" t="s">
        <v>37</v>
      </c>
      <c r="D445" t="s">
        <v>13</v>
      </c>
      <c r="E445" t="s">
        <v>39</v>
      </c>
      <c r="F445" t="s">
        <v>55</v>
      </c>
      <c r="G445">
        <v>20</v>
      </c>
      <c r="H445">
        <v>4426</v>
      </c>
      <c r="I445">
        <v>88520</v>
      </c>
      <c r="J445" t="s">
        <v>21</v>
      </c>
      <c r="K445" t="s">
        <v>22</v>
      </c>
    </row>
    <row r="446" spans="1:11" x14ac:dyDescent="0.35">
      <c r="A446" t="s">
        <v>487</v>
      </c>
      <c r="B446" s="1">
        <v>45482</v>
      </c>
      <c r="C446" t="s">
        <v>43</v>
      </c>
      <c r="D446" t="s">
        <v>13</v>
      </c>
      <c r="E446" t="s">
        <v>14</v>
      </c>
      <c r="F446" t="s">
        <v>15</v>
      </c>
      <c r="G446">
        <v>7</v>
      </c>
      <c r="H446">
        <v>22254</v>
      </c>
      <c r="I446">
        <v>155778</v>
      </c>
      <c r="J446" t="s">
        <v>21</v>
      </c>
      <c r="K446" t="s">
        <v>33</v>
      </c>
    </row>
    <row r="447" spans="1:11" x14ac:dyDescent="0.35">
      <c r="A447" t="s">
        <v>488</v>
      </c>
      <c r="B447" s="1">
        <v>45643</v>
      </c>
      <c r="C447" t="s">
        <v>43</v>
      </c>
      <c r="D447" t="s">
        <v>38</v>
      </c>
      <c r="E447" t="s">
        <v>39</v>
      </c>
      <c r="F447" t="s">
        <v>40</v>
      </c>
      <c r="G447">
        <v>9</v>
      </c>
      <c r="H447">
        <v>33750</v>
      </c>
      <c r="I447">
        <v>303750</v>
      </c>
      <c r="J447" t="s">
        <v>21</v>
      </c>
      <c r="K447" t="s">
        <v>33</v>
      </c>
    </row>
    <row r="448" spans="1:11" x14ac:dyDescent="0.35">
      <c r="A448" t="s">
        <v>489</v>
      </c>
      <c r="B448" s="1">
        <v>45434</v>
      </c>
      <c r="C448" t="s">
        <v>37</v>
      </c>
      <c r="D448" t="s">
        <v>38</v>
      </c>
      <c r="E448" t="s">
        <v>39</v>
      </c>
      <c r="F448" t="s">
        <v>65</v>
      </c>
      <c r="G448">
        <v>13</v>
      </c>
      <c r="H448">
        <v>43980</v>
      </c>
      <c r="I448">
        <v>571740</v>
      </c>
      <c r="J448" t="s">
        <v>32</v>
      </c>
      <c r="K448" t="s">
        <v>17</v>
      </c>
    </row>
    <row r="449" spans="1:11" x14ac:dyDescent="0.35">
      <c r="A449" t="s">
        <v>490</v>
      </c>
      <c r="B449" s="1">
        <v>45452</v>
      </c>
      <c r="C449" t="s">
        <v>12</v>
      </c>
      <c r="D449" t="s">
        <v>19</v>
      </c>
      <c r="E449" t="s">
        <v>25</v>
      </c>
      <c r="F449" t="s">
        <v>58</v>
      </c>
      <c r="G449">
        <v>4</v>
      </c>
      <c r="H449">
        <v>30953</v>
      </c>
      <c r="I449">
        <v>123812</v>
      </c>
      <c r="J449" t="s">
        <v>27</v>
      </c>
      <c r="K449" t="s">
        <v>17</v>
      </c>
    </row>
    <row r="450" spans="1:11" x14ac:dyDescent="0.35">
      <c r="A450" t="s">
        <v>491</v>
      </c>
      <c r="B450" s="1">
        <v>45296</v>
      </c>
      <c r="C450" t="s">
        <v>12</v>
      </c>
      <c r="D450" t="s">
        <v>38</v>
      </c>
      <c r="E450" t="s">
        <v>30</v>
      </c>
      <c r="F450" t="s">
        <v>81</v>
      </c>
      <c r="G450">
        <v>11</v>
      </c>
      <c r="H450">
        <v>33723</v>
      </c>
      <c r="I450">
        <v>370953</v>
      </c>
      <c r="J450" t="s">
        <v>21</v>
      </c>
      <c r="K450" t="s">
        <v>17</v>
      </c>
    </row>
    <row r="451" spans="1:11" x14ac:dyDescent="0.35">
      <c r="A451" t="s">
        <v>492</v>
      </c>
      <c r="B451" s="1">
        <v>45489</v>
      </c>
      <c r="C451" t="s">
        <v>37</v>
      </c>
      <c r="D451" t="s">
        <v>19</v>
      </c>
      <c r="E451" t="s">
        <v>14</v>
      </c>
      <c r="F451" t="s">
        <v>62</v>
      </c>
      <c r="G451">
        <v>14</v>
      </c>
      <c r="H451">
        <v>10349</v>
      </c>
      <c r="I451">
        <v>144886</v>
      </c>
      <c r="J451" t="s">
        <v>21</v>
      </c>
      <c r="K451" t="s">
        <v>22</v>
      </c>
    </row>
    <row r="452" spans="1:11" x14ac:dyDescent="0.35">
      <c r="A452" t="s">
        <v>493</v>
      </c>
      <c r="B452" s="1">
        <v>45391</v>
      </c>
      <c r="C452" t="s">
        <v>24</v>
      </c>
      <c r="D452" t="s">
        <v>13</v>
      </c>
      <c r="E452" t="s">
        <v>30</v>
      </c>
      <c r="F452" t="s">
        <v>31</v>
      </c>
      <c r="G452">
        <v>10</v>
      </c>
      <c r="H452">
        <v>49339</v>
      </c>
      <c r="I452">
        <v>493390</v>
      </c>
      <c r="J452" t="s">
        <v>32</v>
      </c>
      <c r="K452" t="s">
        <v>22</v>
      </c>
    </row>
    <row r="453" spans="1:11" x14ac:dyDescent="0.35">
      <c r="A453" t="s">
        <v>494</v>
      </c>
      <c r="B453" s="1">
        <v>45656</v>
      </c>
      <c r="C453" t="s">
        <v>12</v>
      </c>
      <c r="D453" t="s">
        <v>35</v>
      </c>
      <c r="E453" t="s">
        <v>14</v>
      </c>
      <c r="F453" t="s">
        <v>15</v>
      </c>
      <c r="G453">
        <v>19</v>
      </c>
      <c r="H453">
        <v>19353</v>
      </c>
      <c r="I453">
        <v>367707</v>
      </c>
      <c r="J453" t="s">
        <v>21</v>
      </c>
      <c r="K453" t="s">
        <v>17</v>
      </c>
    </row>
    <row r="454" spans="1:11" x14ac:dyDescent="0.35">
      <c r="A454" t="s">
        <v>495</v>
      </c>
      <c r="B454" s="1">
        <v>45310</v>
      </c>
      <c r="C454" t="s">
        <v>29</v>
      </c>
      <c r="D454" t="s">
        <v>13</v>
      </c>
      <c r="E454" t="s">
        <v>14</v>
      </c>
      <c r="F454" t="s">
        <v>20</v>
      </c>
      <c r="G454">
        <v>14</v>
      </c>
      <c r="H454">
        <v>47656</v>
      </c>
      <c r="I454">
        <v>667184</v>
      </c>
      <c r="J454" t="s">
        <v>16</v>
      </c>
      <c r="K454" t="s">
        <v>17</v>
      </c>
    </row>
    <row r="455" spans="1:11" x14ac:dyDescent="0.35">
      <c r="A455" t="s">
        <v>496</v>
      </c>
      <c r="B455" s="1">
        <v>45434</v>
      </c>
      <c r="C455" t="s">
        <v>12</v>
      </c>
      <c r="D455" t="s">
        <v>13</v>
      </c>
      <c r="E455" t="s">
        <v>30</v>
      </c>
      <c r="F455" t="s">
        <v>44</v>
      </c>
      <c r="G455">
        <v>19</v>
      </c>
      <c r="H455">
        <v>44095</v>
      </c>
      <c r="I455">
        <v>837805</v>
      </c>
      <c r="J455" t="s">
        <v>21</v>
      </c>
      <c r="K455" t="s">
        <v>22</v>
      </c>
    </row>
    <row r="456" spans="1:11" x14ac:dyDescent="0.35">
      <c r="A456" t="s">
        <v>497</v>
      </c>
      <c r="B456" s="1">
        <v>45310</v>
      </c>
      <c r="C456" t="s">
        <v>12</v>
      </c>
      <c r="D456" t="s">
        <v>19</v>
      </c>
      <c r="E456" t="s">
        <v>25</v>
      </c>
      <c r="F456" t="s">
        <v>48</v>
      </c>
      <c r="G456">
        <v>6</v>
      </c>
      <c r="H456">
        <v>5641</v>
      </c>
      <c r="I456">
        <v>33846</v>
      </c>
      <c r="J456" t="s">
        <v>32</v>
      </c>
      <c r="K456" t="s">
        <v>22</v>
      </c>
    </row>
    <row r="457" spans="1:11" x14ac:dyDescent="0.35">
      <c r="A457" t="s">
        <v>498</v>
      </c>
      <c r="B457" s="1">
        <v>45522</v>
      </c>
      <c r="C457" t="s">
        <v>29</v>
      </c>
      <c r="D457" t="s">
        <v>13</v>
      </c>
      <c r="E457" t="s">
        <v>39</v>
      </c>
      <c r="F457" t="s">
        <v>55</v>
      </c>
      <c r="G457">
        <v>15</v>
      </c>
      <c r="H457">
        <v>16593</v>
      </c>
      <c r="I457">
        <v>248895</v>
      </c>
      <c r="J457" t="s">
        <v>16</v>
      </c>
      <c r="K457" t="s">
        <v>17</v>
      </c>
    </row>
    <row r="458" spans="1:11" x14ac:dyDescent="0.35">
      <c r="A458" t="s">
        <v>499</v>
      </c>
      <c r="B458" s="1">
        <v>45468</v>
      </c>
      <c r="C458" t="s">
        <v>24</v>
      </c>
      <c r="D458" t="s">
        <v>19</v>
      </c>
      <c r="E458" t="s">
        <v>39</v>
      </c>
      <c r="F458" t="s">
        <v>40</v>
      </c>
      <c r="G458">
        <v>3</v>
      </c>
      <c r="H458">
        <v>16341</v>
      </c>
      <c r="I458">
        <v>49023</v>
      </c>
      <c r="J458" t="s">
        <v>16</v>
      </c>
      <c r="K458" t="s">
        <v>22</v>
      </c>
    </row>
    <row r="459" spans="1:11" x14ac:dyDescent="0.35">
      <c r="A459" t="s">
        <v>500</v>
      </c>
      <c r="B459" s="1">
        <v>45427</v>
      </c>
      <c r="C459" t="s">
        <v>43</v>
      </c>
      <c r="D459" t="s">
        <v>35</v>
      </c>
      <c r="E459" t="s">
        <v>39</v>
      </c>
      <c r="F459" t="s">
        <v>55</v>
      </c>
      <c r="G459">
        <v>7</v>
      </c>
      <c r="H459">
        <v>41520</v>
      </c>
      <c r="I459">
        <v>290640</v>
      </c>
      <c r="J459" t="s">
        <v>16</v>
      </c>
      <c r="K459" t="s">
        <v>33</v>
      </c>
    </row>
    <row r="460" spans="1:11" x14ac:dyDescent="0.35">
      <c r="A460" t="s">
        <v>501</v>
      </c>
      <c r="B460" s="1">
        <v>45314</v>
      </c>
      <c r="C460" t="s">
        <v>37</v>
      </c>
      <c r="D460" t="s">
        <v>35</v>
      </c>
      <c r="E460" t="s">
        <v>14</v>
      </c>
      <c r="F460" t="s">
        <v>20</v>
      </c>
      <c r="G460">
        <v>11</v>
      </c>
      <c r="H460">
        <v>21517</v>
      </c>
      <c r="I460">
        <v>236687</v>
      </c>
      <c r="J460" t="s">
        <v>16</v>
      </c>
      <c r="K460" t="s">
        <v>22</v>
      </c>
    </row>
    <row r="461" spans="1:11" x14ac:dyDescent="0.35">
      <c r="A461" t="s">
        <v>502</v>
      </c>
      <c r="B461" s="1">
        <v>45313</v>
      </c>
      <c r="C461" t="s">
        <v>29</v>
      </c>
      <c r="D461" t="s">
        <v>38</v>
      </c>
      <c r="E461" t="s">
        <v>25</v>
      </c>
      <c r="F461" t="s">
        <v>26</v>
      </c>
      <c r="G461">
        <v>9</v>
      </c>
      <c r="H461">
        <v>36243</v>
      </c>
      <c r="I461">
        <v>326187</v>
      </c>
      <c r="J461" t="s">
        <v>16</v>
      </c>
      <c r="K461" t="s">
        <v>17</v>
      </c>
    </row>
    <row r="462" spans="1:11" x14ac:dyDescent="0.35">
      <c r="A462" t="s">
        <v>503</v>
      </c>
      <c r="B462" s="1">
        <v>45412</v>
      </c>
      <c r="C462" t="s">
        <v>43</v>
      </c>
      <c r="D462" t="s">
        <v>13</v>
      </c>
      <c r="E462" t="s">
        <v>14</v>
      </c>
      <c r="F462" t="s">
        <v>20</v>
      </c>
      <c r="G462">
        <v>12</v>
      </c>
      <c r="H462">
        <v>45573</v>
      </c>
      <c r="I462">
        <v>546876</v>
      </c>
      <c r="J462" t="s">
        <v>21</v>
      </c>
      <c r="K462" t="s">
        <v>33</v>
      </c>
    </row>
    <row r="463" spans="1:11" x14ac:dyDescent="0.35">
      <c r="A463" t="s">
        <v>504</v>
      </c>
      <c r="B463" s="1">
        <v>45422</v>
      </c>
      <c r="C463" t="s">
        <v>29</v>
      </c>
      <c r="D463" t="s">
        <v>19</v>
      </c>
      <c r="E463" t="s">
        <v>39</v>
      </c>
      <c r="F463" t="s">
        <v>55</v>
      </c>
      <c r="G463">
        <v>4</v>
      </c>
      <c r="H463">
        <v>44519</v>
      </c>
      <c r="I463">
        <v>178076</v>
      </c>
      <c r="J463" t="s">
        <v>27</v>
      </c>
      <c r="K463" t="s">
        <v>17</v>
      </c>
    </row>
    <row r="464" spans="1:11" x14ac:dyDescent="0.35">
      <c r="A464" t="s">
        <v>505</v>
      </c>
      <c r="B464" s="1">
        <v>45466</v>
      </c>
      <c r="C464" t="s">
        <v>43</v>
      </c>
      <c r="D464" t="s">
        <v>13</v>
      </c>
      <c r="E464" t="s">
        <v>39</v>
      </c>
      <c r="F464" t="s">
        <v>40</v>
      </c>
      <c r="G464">
        <v>15</v>
      </c>
      <c r="H464">
        <v>18824</v>
      </c>
      <c r="I464">
        <v>282360</v>
      </c>
      <c r="J464" t="s">
        <v>32</v>
      </c>
      <c r="K464" t="s">
        <v>33</v>
      </c>
    </row>
    <row r="465" spans="1:11" x14ac:dyDescent="0.35">
      <c r="A465" t="s">
        <v>506</v>
      </c>
      <c r="B465" s="1">
        <v>45634</v>
      </c>
      <c r="C465" t="s">
        <v>12</v>
      </c>
      <c r="D465" t="s">
        <v>19</v>
      </c>
      <c r="E465" t="s">
        <v>30</v>
      </c>
      <c r="F465" t="s">
        <v>81</v>
      </c>
      <c r="G465">
        <v>14</v>
      </c>
      <c r="H465">
        <v>25747</v>
      </c>
      <c r="I465">
        <v>360458</v>
      </c>
      <c r="J465" t="s">
        <v>16</v>
      </c>
      <c r="K465" t="s">
        <v>17</v>
      </c>
    </row>
    <row r="466" spans="1:11" x14ac:dyDescent="0.35">
      <c r="A466" t="s">
        <v>507</v>
      </c>
      <c r="B466" s="1">
        <v>45373</v>
      </c>
      <c r="C466" t="s">
        <v>24</v>
      </c>
      <c r="D466" t="s">
        <v>19</v>
      </c>
      <c r="E466" t="s">
        <v>39</v>
      </c>
      <c r="F466" t="s">
        <v>40</v>
      </c>
      <c r="G466">
        <v>13</v>
      </c>
      <c r="H466">
        <v>11718</v>
      </c>
      <c r="I466">
        <v>152334</v>
      </c>
      <c r="J466" t="s">
        <v>21</v>
      </c>
      <c r="K466" t="s">
        <v>33</v>
      </c>
    </row>
    <row r="467" spans="1:11" x14ac:dyDescent="0.35">
      <c r="A467" t="s">
        <v>508</v>
      </c>
      <c r="B467" s="1">
        <v>45429</v>
      </c>
      <c r="C467" t="s">
        <v>24</v>
      </c>
      <c r="D467" t="s">
        <v>35</v>
      </c>
      <c r="E467" t="s">
        <v>14</v>
      </c>
      <c r="F467" t="s">
        <v>20</v>
      </c>
      <c r="G467">
        <v>12</v>
      </c>
      <c r="H467">
        <v>32482</v>
      </c>
      <c r="I467">
        <v>389784</v>
      </c>
      <c r="J467" t="s">
        <v>21</v>
      </c>
      <c r="K467" t="s">
        <v>33</v>
      </c>
    </row>
    <row r="468" spans="1:11" x14ac:dyDescent="0.35">
      <c r="A468" t="s">
        <v>509</v>
      </c>
      <c r="B468" s="1">
        <v>45354</v>
      </c>
      <c r="C468" t="s">
        <v>43</v>
      </c>
      <c r="D468" t="s">
        <v>35</v>
      </c>
      <c r="E468" t="s">
        <v>25</v>
      </c>
      <c r="F468" t="s">
        <v>48</v>
      </c>
      <c r="G468">
        <v>15</v>
      </c>
      <c r="H468">
        <v>33539</v>
      </c>
      <c r="I468">
        <v>503085</v>
      </c>
      <c r="J468" t="s">
        <v>27</v>
      </c>
      <c r="K468" t="s">
        <v>22</v>
      </c>
    </row>
    <row r="469" spans="1:11" x14ac:dyDescent="0.35">
      <c r="A469" t="s">
        <v>510</v>
      </c>
      <c r="B469" s="1">
        <v>45335</v>
      </c>
      <c r="C469" t="s">
        <v>43</v>
      </c>
      <c r="D469" t="s">
        <v>13</v>
      </c>
      <c r="E469" t="s">
        <v>25</v>
      </c>
      <c r="F469" t="s">
        <v>58</v>
      </c>
      <c r="G469">
        <v>13</v>
      </c>
      <c r="H469">
        <v>49669</v>
      </c>
      <c r="I469">
        <v>645697</v>
      </c>
      <c r="J469" t="s">
        <v>32</v>
      </c>
      <c r="K469" t="s">
        <v>22</v>
      </c>
    </row>
    <row r="470" spans="1:11" x14ac:dyDescent="0.35">
      <c r="A470" t="s">
        <v>511</v>
      </c>
      <c r="B470" s="1">
        <v>45602</v>
      </c>
      <c r="C470" t="s">
        <v>12</v>
      </c>
      <c r="D470" t="s">
        <v>19</v>
      </c>
      <c r="E470" t="s">
        <v>25</v>
      </c>
      <c r="F470" t="s">
        <v>48</v>
      </c>
      <c r="G470">
        <v>4</v>
      </c>
      <c r="H470">
        <v>20016</v>
      </c>
      <c r="I470">
        <v>80064</v>
      </c>
      <c r="J470" t="s">
        <v>21</v>
      </c>
      <c r="K470" t="s">
        <v>33</v>
      </c>
    </row>
    <row r="471" spans="1:11" x14ac:dyDescent="0.35">
      <c r="A471" t="s">
        <v>512</v>
      </c>
      <c r="B471" s="1">
        <v>45521</v>
      </c>
      <c r="C471" t="s">
        <v>12</v>
      </c>
      <c r="D471" t="s">
        <v>35</v>
      </c>
      <c r="E471" t="s">
        <v>14</v>
      </c>
      <c r="F471" t="s">
        <v>20</v>
      </c>
      <c r="G471">
        <v>1</v>
      </c>
      <c r="H471">
        <v>8246</v>
      </c>
      <c r="I471">
        <v>8246</v>
      </c>
      <c r="J471" t="s">
        <v>32</v>
      </c>
      <c r="K471" t="s">
        <v>33</v>
      </c>
    </row>
    <row r="472" spans="1:11" x14ac:dyDescent="0.35">
      <c r="A472" t="s">
        <v>513</v>
      </c>
      <c r="B472" s="1">
        <v>45419</v>
      </c>
      <c r="C472" t="s">
        <v>37</v>
      </c>
      <c r="D472" t="s">
        <v>38</v>
      </c>
      <c r="E472" t="s">
        <v>30</v>
      </c>
      <c r="F472" t="s">
        <v>81</v>
      </c>
      <c r="G472">
        <v>11</v>
      </c>
      <c r="H472">
        <v>32574</v>
      </c>
      <c r="I472">
        <v>358314</v>
      </c>
      <c r="J472" t="s">
        <v>21</v>
      </c>
      <c r="K472" t="s">
        <v>22</v>
      </c>
    </row>
    <row r="473" spans="1:11" x14ac:dyDescent="0.35">
      <c r="A473" t="s">
        <v>514</v>
      </c>
      <c r="B473" s="1">
        <v>45334</v>
      </c>
      <c r="C473" t="s">
        <v>29</v>
      </c>
      <c r="D473" t="s">
        <v>35</v>
      </c>
      <c r="E473" t="s">
        <v>39</v>
      </c>
      <c r="F473" t="s">
        <v>40</v>
      </c>
      <c r="G473">
        <v>19</v>
      </c>
      <c r="H473">
        <v>29730</v>
      </c>
      <c r="I473">
        <v>564870</v>
      </c>
      <c r="J473" t="s">
        <v>32</v>
      </c>
      <c r="K473" t="s">
        <v>17</v>
      </c>
    </row>
    <row r="474" spans="1:11" x14ac:dyDescent="0.35">
      <c r="A474" t="s">
        <v>515</v>
      </c>
      <c r="B474" s="1">
        <v>45535</v>
      </c>
      <c r="C474" t="s">
        <v>12</v>
      </c>
      <c r="D474" t="s">
        <v>38</v>
      </c>
      <c r="E474" t="s">
        <v>30</v>
      </c>
      <c r="F474" t="s">
        <v>81</v>
      </c>
      <c r="G474">
        <v>16</v>
      </c>
      <c r="H474">
        <v>44793</v>
      </c>
      <c r="I474">
        <v>716688</v>
      </c>
      <c r="J474" t="s">
        <v>16</v>
      </c>
      <c r="K474" t="s">
        <v>22</v>
      </c>
    </row>
    <row r="475" spans="1:11" x14ac:dyDescent="0.35">
      <c r="A475" t="s">
        <v>516</v>
      </c>
      <c r="B475" s="1">
        <v>45312</v>
      </c>
      <c r="C475" t="s">
        <v>24</v>
      </c>
      <c r="D475" t="s">
        <v>13</v>
      </c>
      <c r="E475" t="s">
        <v>25</v>
      </c>
      <c r="F475" t="s">
        <v>58</v>
      </c>
      <c r="G475">
        <v>13</v>
      </c>
      <c r="H475">
        <v>16892</v>
      </c>
      <c r="I475">
        <v>219596</v>
      </c>
      <c r="J475" t="s">
        <v>32</v>
      </c>
      <c r="K475" t="s">
        <v>33</v>
      </c>
    </row>
    <row r="476" spans="1:11" x14ac:dyDescent="0.35">
      <c r="A476" t="s">
        <v>517</v>
      </c>
      <c r="B476" s="1">
        <v>45590</v>
      </c>
      <c r="C476" t="s">
        <v>43</v>
      </c>
      <c r="D476" t="s">
        <v>38</v>
      </c>
      <c r="E476" t="s">
        <v>25</v>
      </c>
      <c r="F476" t="s">
        <v>26</v>
      </c>
      <c r="G476">
        <v>20</v>
      </c>
      <c r="H476">
        <v>21195</v>
      </c>
      <c r="I476">
        <v>423900</v>
      </c>
      <c r="J476" t="s">
        <v>21</v>
      </c>
      <c r="K476" t="s">
        <v>17</v>
      </c>
    </row>
    <row r="477" spans="1:11" x14ac:dyDescent="0.35">
      <c r="A477" t="s">
        <v>518</v>
      </c>
      <c r="B477" s="1">
        <v>45523</v>
      </c>
      <c r="C477" t="s">
        <v>24</v>
      </c>
      <c r="D477" t="s">
        <v>13</v>
      </c>
      <c r="E477" t="s">
        <v>30</v>
      </c>
      <c r="F477" t="s">
        <v>44</v>
      </c>
      <c r="G477">
        <v>12</v>
      </c>
      <c r="H477">
        <v>30040</v>
      </c>
      <c r="I477">
        <v>360480</v>
      </c>
      <c r="J477" t="s">
        <v>32</v>
      </c>
      <c r="K477" t="s">
        <v>22</v>
      </c>
    </row>
    <row r="478" spans="1:11" x14ac:dyDescent="0.35">
      <c r="A478" t="s">
        <v>519</v>
      </c>
      <c r="B478" s="1">
        <v>45432</v>
      </c>
      <c r="C478" t="s">
        <v>43</v>
      </c>
      <c r="D478" t="s">
        <v>38</v>
      </c>
      <c r="E478" t="s">
        <v>14</v>
      </c>
      <c r="F478" t="s">
        <v>20</v>
      </c>
      <c r="G478">
        <v>13</v>
      </c>
      <c r="H478">
        <v>41529</v>
      </c>
      <c r="I478">
        <v>539877</v>
      </c>
      <c r="J478" t="s">
        <v>21</v>
      </c>
      <c r="K478" t="s">
        <v>33</v>
      </c>
    </row>
    <row r="479" spans="1:11" x14ac:dyDescent="0.35">
      <c r="A479" t="s">
        <v>520</v>
      </c>
      <c r="B479" s="1">
        <v>45442</v>
      </c>
      <c r="C479" t="s">
        <v>37</v>
      </c>
      <c r="D479" t="s">
        <v>13</v>
      </c>
      <c r="E479" t="s">
        <v>25</v>
      </c>
      <c r="F479" t="s">
        <v>26</v>
      </c>
      <c r="G479">
        <v>15</v>
      </c>
      <c r="H479">
        <v>6671</v>
      </c>
      <c r="I479">
        <v>100065</v>
      </c>
      <c r="J479" t="s">
        <v>27</v>
      </c>
      <c r="K479" t="s">
        <v>22</v>
      </c>
    </row>
    <row r="480" spans="1:11" x14ac:dyDescent="0.35">
      <c r="A480" t="s">
        <v>521</v>
      </c>
      <c r="B480" s="1">
        <v>45649</v>
      </c>
      <c r="C480" t="s">
        <v>24</v>
      </c>
      <c r="D480" t="s">
        <v>19</v>
      </c>
      <c r="E480" t="s">
        <v>39</v>
      </c>
      <c r="F480" t="s">
        <v>55</v>
      </c>
      <c r="G480">
        <v>1</v>
      </c>
      <c r="H480">
        <v>8168</v>
      </c>
      <c r="I480">
        <v>8168</v>
      </c>
      <c r="J480" t="s">
        <v>21</v>
      </c>
      <c r="K480" t="s">
        <v>33</v>
      </c>
    </row>
    <row r="481" spans="1:11" x14ac:dyDescent="0.35">
      <c r="A481" t="s">
        <v>522</v>
      </c>
      <c r="B481" s="1">
        <v>45368</v>
      </c>
      <c r="C481" t="s">
        <v>37</v>
      </c>
      <c r="D481" t="s">
        <v>19</v>
      </c>
      <c r="E481" t="s">
        <v>30</v>
      </c>
      <c r="F481" t="s">
        <v>31</v>
      </c>
      <c r="G481">
        <v>5</v>
      </c>
      <c r="H481">
        <v>26772</v>
      </c>
      <c r="I481">
        <v>133860</v>
      </c>
      <c r="J481" t="s">
        <v>32</v>
      </c>
      <c r="K481" t="s">
        <v>17</v>
      </c>
    </row>
    <row r="482" spans="1:11" x14ac:dyDescent="0.35">
      <c r="A482" t="s">
        <v>523</v>
      </c>
      <c r="B482" s="1">
        <v>45357</v>
      </c>
      <c r="C482" t="s">
        <v>37</v>
      </c>
      <c r="D482" t="s">
        <v>19</v>
      </c>
      <c r="E482" t="s">
        <v>30</v>
      </c>
      <c r="F482" t="s">
        <v>44</v>
      </c>
      <c r="G482">
        <v>1</v>
      </c>
      <c r="H482">
        <v>30016</v>
      </c>
      <c r="I482">
        <v>30016</v>
      </c>
      <c r="J482" t="s">
        <v>27</v>
      </c>
      <c r="K482" t="s">
        <v>17</v>
      </c>
    </row>
    <row r="483" spans="1:11" x14ac:dyDescent="0.35">
      <c r="A483" t="s">
        <v>524</v>
      </c>
      <c r="B483" s="1">
        <v>45574</v>
      </c>
      <c r="C483" t="s">
        <v>29</v>
      </c>
      <c r="D483" t="s">
        <v>19</v>
      </c>
      <c r="E483" t="s">
        <v>14</v>
      </c>
      <c r="F483" t="s">
        <v>20</v>
      </c>
      <c r="G483">
        <v>15</v>
      </c>
      <c r="H483">
        <v>41711</v>
      </c>
      <c r="I483">
        <v>625665</v>
      </c>
      <c r="J483" t="s">
        <v>21</v>
      </c>
      <c r="K483" t="s">
        <v>33</v>
      </c>
    </row>
    <row r="484" spans="1:11" x14ac:dyDescent="0.35">
      <c r="A484" t="s">
        <v>525</v>
      </c>
      <c r="B484" s="1">
        <v>45506</v>
      </c>
      <c r="C484" t="s">
        <v>29</v>
      </c>
      <c r="D484" t="s">
        <v>35</v>
      </c>
      <c r="E484" t="s">
        <v>39</v>
      </c>
      <c r="F484" t="s">
        <v>65</v>
      </c>
      <c r="G484">
        <v>6</v>
      </c>
      <c r="H484">
        <v>9352</v>
      </c>
      <c r="I484">
        <v>56112</v>
      </c>
      <c r="J484" t="s">
        <v>32</v>
      </c>
      <c r="K484" t="s">
        <v>22</v>
      </c>
    </row>
    <row r="485" spans="1:11" x14ac:dyDescent="0.35">
      <c r="A485" t="s">
        <v>526</v>
      </c>
      <c r="B485" s="1">
        <v>45477</v>
      </c>
      <c r="C485" t="s">
        <v>43</v>
      </c>
      <c r="D485" t="s">
        <v>38</v>
      </c>
      <c r="E485" t="s">
        <v>14</v>
      </c>
      <c r="F485" t="s">
        <v>20</v>
      </c>
      <c r="G485">
        <v>1</v>
      </c>
      <c r="H485">
        <v>42208</v>
      </c>
      <c r="I485">
        <v>42208</v>
      </c>
      <c r="J485" t="s">
        <v>21</v>
      </c>
      <c r="K485" t="s">
        <v>33</v>
      </c>
    </row>
    <row r="486" spans="1:11" x14ac:dyDescent="0.35">
      <c r="A486" t="s">
        <v>527</v>
      </c>
      <c r="B486" s="1">
        <v>45628</v>
      </c>
      <c r="C486" t="s">
        <v>24</v>
      </c>
      <c r="D486" t="s">
        <v>19</v>
      </c>
      <c r="E486" t="s">
        <v>30</v>
      </c>
      <c r="F486" t="s">
        <v>81</v>
      </c>
      <c r="G486">
        <v>18</v>
      </c>
      <c r="H486">
        <v>47729</v>
      </c>
      <c r="I486">
        <v>859122</v>
      </c>
      <c r="J486" t="s">
        <v>21</v>
      </c>
      <c r="K486" t="s">
        <v>22</v>
      </c>
    </row>
    <row r="487" spans="1:11" x14ac:dyDescent="0.35">
      <c r="A487" t="s">
        <v>528</v>
      </c>
      <c r="B487" s="1">
        <v>45411</v>
      </c>
      <c r="C487" t="s">
        <v>37</v>
      </c>
      <c r="D487" t="s">
        <v>19</v>
      </c>
      <c r="E487" t="s">
        <v>30</v>
      </c>
      <c r="F487" t="s">
        <v>81</v>
      </c>
      <c r="G487">
        <v>16</v>
      </c>
      <c r="H487">
        <v>36413</v>
      </c>
      <c r="I487">
        <v>582608</v>
      </c>
      <c r="J487" t="s">
        <v>21</v>
      </c>
      <c r="K487" t="s">
        <v>22</v>
      </c>
    </row>
    <row r="488" spans="1:11" x14ac:dyDescent="0.35">
      <c r="A488" t="s">
        <v>529</v>
      </c>
      <c r="B488" s="1">
        <v>45617</v>
      </c>
      <c r="C488" t="s">
        <v>12</v>
      </c>
      <c r="D488" t="s">
        <v>19</v>
      </c>
      <c r="E488" t="s">
        <v>25</v>
      </c>
      <c r="F488" t="s">
        <v>58</v>
      </c>
      <c r="G488">
        <v>16</v>
      </c>
      <c r="H488">
        <v>35877</v>
      </c>
      <c r="I488">
        <v>574032</v>
      </c>
      <c r="J488" t="s">
        <v>16</v>
      </c>
      <c r="K488" t="s">
        <v>33</v>
      </c>
    </row>
    <row r="489" spans="1:11" x14ac:dyDescent="0.35">
      <c r="A489" t="s">
        <v>530</v>
      </c>
      <c r="B489" s="1">
        <v>45556</v>
      </c>
      <c r="C489" t="s">
        <v>37</v>
      </c>
      <c r="D489" t="s">
        <v>13</v>
      </c>
      <c r="E489" t="s">
        <v>25</v>
      </c>
      <c r="F489" t="s">
        <v>26</v>
      </c>
      <c r="G489">
        <v>11</v>
      </c>
      <c r="H489">
        <v>24576</v>
      </c>
      <c r="I489">
        <v>270336</v>
      </c>
      <c r="J489" t="s">
        <v>16</v>
      </c>
      <c r="K489" t="s">
        <v>33</v>
      </c>
    </row>
    <row r="490" spans="1:11" x14ac:dyDescent="0.35">
      <c r="A490" t="s">
        <v>531</v>
      </c>
      <c r="B490" s="1">
        <v>45612</v>
      </c>
      <c r="C490" t="s">
        <v>29</v>
      </c>
      <c r="D490" t="s">
        <v>35</v>
      </c>
      <c r="E490" t="s">
        <v>25</v>
      </c>
      <c r="F490" t="s">
        <v>48</v>
      </c>
      <c r="G490">
        <v>8</v>
      </c>
      <c r="H490">
        <v>17354</v>
      </c>
      <c r="I490">
        <v>138832</v>
      </c>
      <c r="J490" t="s">
        <v>27</v>
      </c>
      <c r="K490" t="s">
        <v>22</v>
      </c>
    </row>
    <row r="491" spans="1:11" x14ac:dyDescent="0.35">
      <c r="A491" t="s">
        <v>532</v>
      </c>
      <c r="B491" s="1">
        <v>45373</v>
      </c>
      <c r="C491" t="s">
        <v>12</v>
      </c>
      <c r="D491" t="s">
        <v>35</v>
      </c>
      <c r="E491" t="s">
        <v>25</v>
      </c>
      <c r="F491" t="s">
        <v>48</v>
      </c>
      <c r="G491">
        <v>8</v>
      </c>
      <c r="H491">
        <v>3385</v>
      </c>
      <c r="I491">
        <v>27080</v>
      </c>
      <c r="J491" t="s">
        <v>27</v>
      </c>
      <c r="K491" t="s">
        <v>17</v>
      </c>
    </row>
    <row r="492" spans="1:11" x14ac:dyDescent="0.35">
      <c r="A492" t="s">
        <v>533</v>
      </c>
      <c r="B492" s="1">
        <v>45397</v>
      </c>
      <c r="C492" t="s">
        <v>12</v>
      </c>
      <c r="D492" t="s">
        <v>19</v>
      </c>
      <c r="E492" t="s">
        <v>39</v>
      </c>
      <c r="F492" t="s">
        <v>65</v>
      </c>
      <c r="G492">
        <v>2</v>
      </c>
      <c r="H492">
        <v>20361</v>
      </c>
      <c r="I492">
        <v>40722</v>
      </c>
      <c r="J492" t="s">
        <v>16</v>
      </c>
      <c r="K492" t="s">
        <v>33</v>
      </c>
    </row>
    <row r="493" spans="1:11" x14ac:dyDescent="0.35">
      <c r="A493" t="s">
        <v>534</v>
      </c>
      <c r="B493" s="1">
        <v>45569</v>
      </c>
      <c r="C493" t="s">
        <v>29</v>
      </c>
      <c r="D493" t="s">
        <v>13</v>
      </c>
      <c r="E493" t="s">
        <v>30</v>
      </c>
      <c r="F493" t="s">
        <v>31</v>
      </c>
      <c r="G493">
        <v>11</v>
      </c>
      <c r="H493">
        <v>6944</v>
      </c>
      <c r="I493">
        <v>76384</v>
      </c>
      <c r="J493" t="s">
        <v>32</v>
      </c>
      <c r="K493" t="s">
        <v>22</v>
      </c>
    </row>
    <row r="494" spans="1:11" x14ac:dyDescent="0.35">
      <c r="A494" t="s">
        <v>535</v>
      </c>
      <c r="B494" s="1">
        <v>45621</v>
      </c>
      <c r="C494" t="s">
        <v>12</v>
      </c>
      <c r="D494" t="s">
        <v>13</v>
      </c>
      <c r="E494" t="s">
        <v>39</v>
      </c>
      <c r="F494" t="s">
        <v>55</v>
      </c>
      <c r="G494">
        <v>4</v>
      </c>
      <c r="H494">
        <v>45744</v>
      </c>
      <c r="I494">
        <v>182976</v>
      </c>
      <c r="J494" t="s">
        <v>16</v>
      </c>
      <c r="K494" t="s">
        <v>33</v>
      </c>
    </row>
    <row r="495" spans="1:11" x14ac:dyDescent="0.35">
      <c r="A495" t="s">
        <v>536</v>
      </c>
      <c r="B495" s="1">
        <v>45526</v>
      </c>
      <c r="C495" t="s">
        <v>12</v>
      </c>
      <c r="D495" t="s">
        <v>38</v>
      </c>
      <c r="E495" t="s">
        <v>14</v>
      </c>
      <c r="F495" t="s">
        <v>15</v>
      </c>
      <c r="G495">
        <v>4</v>
      </c>
      <c r="H495">
        <v>48267</v>
      </c>
      <c r="I495">
        <v>193068</v>
      </c>
      <c r="J495" t="s">
        <v>21</v>
      </c>
      <c r="K495" t="s">
        <v>17</v>
      </c>
    </row>
    <row r="496" spans="1:11" x14ac:dyDescent="0.35">
      <c r="A496" t="s">
        <v>537</v>
      </c>
      <c r="B496" s="1">
        <v>45506</v>
      </c>
      <c r="C496" t="s">
        <v>29</v>
      </c>
      <c r="D496" t="s">
        <v>38</v>
      </c>
      <c r="E496" t="s">
        <v>25</v>
      </c>
      <c r="F496" t="s">
        <v>58</v>
      </c>
      <c r="G496">
        <v>6</v>
      </c>
      <c r="H496">
        <v>47544</v>
      </c>
      <c r="I496">
        <v>285264</v>
      </c>
      <c r="J496" t="s">
        <v>32</v>
      </c>
      <c r="K496" t="s">
        <v>33</v>
      </c>
    </row>
    <row r="497" spans="1:11" x14ac:dyDescent="0.35">
      <c r="A497" t="s">
        <v>538</v>
      </c>
      <c r="B497" s="1">
        <v>45474</v>
      </c>
      <c r="C497" t="s">
        <v>37</v>
      </c>
      <c r="D497" t="s">
        <v>35</v>
      </c>
      <c r="E497" t="s">
        <v>25</v>
      </c>
      <c r="F497" t="s">
        <v>48</v>
      </c>
      <c r="G497">
        <v>20</v>
      </c>
      <c r="H497">
        <v>34170</v>
      </c>
      <c r="I497">
        <v>683400</v>
      </c>
      <c r="J497" t="s">
        <v>16</v>
      </c>
      <c r="K497" t="s">
        <v>22</v>
      </c>
    </row>
    <row r="498" spans="1:11" x14ac:dyDescent="0.35">
      <c r="A498" t="s">
        <v>539</v>
      </c>
      <c r="B498" s="1">
        <v>45642</v>
      </c>
      <c r="C498" t="s">
        <v>24</v>
      </c>
      <c r="D498" t="s">
        <v>19</v>
      </c>
      <c r="E498" t="s">
        <v>14</v>
      </c>
      <c r="F498" t="s">
        <v>15</v>
      </c>
      <c r="G498">
        <v>20</v>
      </c>
      <c r="H498">
        <v>49959</v>
      </c>
      <c r="I498">
        <v>999180</v>
      </c>
      <c r="J498" t="s">
        <v>16</v>
      </c>
      <c r="K498" t="s">
        <v>33</v>
      </c>
    </row>
    <row r="499" spans="1:11" x14ac:dyDescent="0.35">
      <c r="A499" t="s">
        <v>540</v>
      </c>
      <c r="B499" s="1">
        <v>45361</v>
      </c>
      <c r="C499" t="s">
        <v>12</v>
      </c>
      <c r="D499" t="s">
        <v>38</v>
      </c>
      <c r="E499" t="s">
        <v>14</v>
      </c>
      <c r="F499" t="s">
        <v>20</v>
      </c>
      <c r="G499">
        <v>7</v>
      </c>
      <c r="H499">
        <v>1417</v>
      </c>
      <c r="I499">
        <v>9919</v>
      </c>
      <c r="J499" t="s">
        <v>32</v>
      </c>
      <c r="K499" t="s">
        <v>22</v>
      </c>
    </row>
    <row r="500" spans="1:11" x14ac:dyDescent="0.35">
      <c r="A500" t="s">
        <v>541</v>
      </c>
      <c r="B500" s="1">
        <v>45363</v>
      </c>
      <c r="C500" t="s">
        <v>37</v>
      </c>
      <c r="D500" t="s">
        <v>13</v>
      </c>
      <c r="E500" t="s">
        <v>25</v>
      </c>
      <c r="F500" t="s">
        <v>26</v>
      </c>
      <c r="G500">
        <v>4</v>
      </c>
      <c r="H500">
        <v>45164</v>
      </c>
      <c r="I500">
        <v>180656</v>
      </c>
      <c r="J500" t="s">
        <v>16</v>
      </c>
      <c r="K500" t="s">
        <v>17</v>
      </c>
    </row>
    <row r="501" spans="1:11" x14ac:dyDescent="0.35">
      <c r="A501" t="s">
        <v>542</v>
      </c>
      <c r="B501" s="1">
        <v>45365</v>
      </c>
      <c r="C501" t="s">
        <v>29</v>
      </c>
      <c r="D501" t="s">
        <v>19</v>
      </c>
      <c r="E501" t="s">
        <v>30</v>
      </c>
      <c r="F501" t="s">
        <v>44</v>
      </c>
      <c r="G501">
        <v>8</v>
      </c>
      <c r="H501">
        <v>4304</v>
      </c>
      <c r="I501">
        <v>34432</v>
      </c>
      <c r="J501" t="s">
        <v>21</v>
      </c>
      <c r="K501" t="s">
        <v>33</v>
      </c>
    </row>
    <row r="502" spans="1:11" x14ac:dyDescent="0.35">
      <c r="A502" t="s">
        <v>543</v>
      </c>
      <c r="B502" s="1">
        <v>45592</v>
      </c>
      <c r="C502" t="s">
        <v>37</v>
      </c>
      <c r="D502" t="s">
        <v>35</v>
      </c>
      <c r="E502" t="s">
        <v>30</v>
      </c>
      <c r="F502" t="s">
        <v>44</v>
      </c>
      <c r="G502">
        <v>12</v>
      </c>
      <c r="H502">
        <v>33802</v>
      </c>
      <c r="I502">
        <v>405624</v>
      </c>
      <c r="J502" t="s">
        <v>21</v>
      </c>
      <c r="K502" t="s">
        <v>17</v>
      </c>
    </row>
    <row r="503" spans="1:11" x14ac:dyDescent="0.35">
      <c r="A503" t="s">
        <v>544</v>
      </c>
      <c r="B503" s="1">
        <v>45526</v>
      </c>
      <c r="C503" t="s">
        <v>29</v>
      </c>
      <c r="D503" t="s">
        <v>35</v>
      </c>
      <c r="E503" t="s">
        <v>30</v>
      </c>
      <c r="F503" t="s">
        <v>44</v>
      </c>
      <c r="G503">
        <v>17</v>
      </c>
      <c r="H503">
        <v>30589</v>
      </c>
      <c r="I503">
        <v>520013</v>
      </c>
      <c r="J503" t="s">
        <v>32</v>
      </c>
      <c r="K503" t="s">
        <v>33</v>
      </c>
    </row>
    <row r="504" spans="1:11" x14ac:dyDescent="0.35">
      <c r="A504" t="s">
        <v>545</v>
      </c>
      <c r="B504" s="1">
        <v>45533</v>
      </c>
      <c r="C504" t="s">
        <v>29</v>
      </c>
      <c r="D504" t="s">
        <v>13</v>
      </c>
      <c r="E504" t="s">
        <v>14</v>
      </c>
      <c r="F504" t="s">
        <v>62</v>
      </c>
      <c r="G504">
        <v>9</v>
      </c>
      <c r="H504">
        <v>43153</v>
      </c>
      <c r="I504">
        <v>388377</v>
      </c>
      <c r="J504" t="s">
        <v>27</v>
      </c>
      <c r="K504" t="s">
        <v>22</v>
      </c>
    </row>
    <row r="505" spans="1:11" x14ac:dyDescent="0.35">
      <c r="A505" t="s">
        <v>546</v>
      </c>
      <c r="B505" s="1">
        <v>45624</v>
      </c>
      <c r="C505" t="s">
        <v>12</v>
      </c>
      <c r="D505" t="s">
        <v>35</v>
      </c>
      <c r="E505" t="s">
        <v>30</v>
      </c>
      <c r="F505" t="s">
        <v>81</v>
      </c>
      <c r="G505">
        <v>16</v>
      </c>
      <c r="H505">
        <v>29654</v>
      </c>
      <c r="I505">
        <v>474464</v>
      </c>
      <c r="J505" t="s">
        <v>16</v>
      </c>
      <c r="K505" t="s">
        <v>17</v>
      </c>
    </row>
    <row r="506" spans="1:11" x14ac:dyDescent="0.35">
      <c r="A506" t="s">
        <v>547</v>
      </c>
      <c r="B506" s="1">
        <v>45648</v>
      </c>
      <c r="C506" t="s">
        <v>29</v>
      </c>
      <c r="D506" t="s">
        <v>19</v>
      </c>
      <c r="E506" t="s">
        <v>30</v>
      </c>
      <c r="F506" t="s">
        <v>44</v>
      </c>
      <c r="G506">
        <v>12</v>
      </c>
      <c r="H506">
        <v>9218</v>
      </c>
      <c r="I506">
        <v>110616</v>
      </c>
      <c r="J506" t="s">
        <v>21</v>
      </c>
      <c r="K506" t="s">
        <v>22</v>
      </c>
    </row>
    <row r="507" spans="1:11" x14ac:dyDescent="0.35">
      <c r="A507" t="s">
        <v>548</v>
      </c>
      <c r="B507" s="1">
        <v>45396</v>
      </c>
      <c r="C507" t="s">
        <v>43</v>
      </c>
      <c r="D507" t="s">
        <v>35</v>
      </c>
      <c r="E507" t="s">
        <v>39</v>
      </c>
      <c r="F507" t="s">
        <v>40</v>
      </c>
      <c r="G507">
        <v>9</v>
      </c>
      <c r="H507">
        <v>41820</v>
      </c>
      <c r="I507">
        <v>376380</v>
      </c>
      <c r="J507" t="s">
        <v>27</v>
      </c>
      <c r="K507" t="s">
        <v>22</v>
      </c>
    </row>
    <row r="508" spans="1:11" x14ac:dyDescent="0.35">
      <c r="A508" t="s">
        <v>549</v>
      </c>
      <c r="B508" s="1">
        <v>45395</v>
      </c>
      <c r="C508" t="s">
        <v>12</v>
      </c>
      <c r="D508" t="s">
        <v>19</v>
      </c>
      <c r="E508" t="s">
        <v>39</v>
      </c>
      <c r="F508" t="s">
        <v>65</v>
      </c>
      <c r="G508">
        <v>18</v>
      </c>
      <c r="H508">
        <v>40527</v>
      </c>
      <c r="I508">
        <v>729486</v>
      </c>
      <c r="J508" t="s">
        <v>27</v>
      </c>
      <c r="K508" t="s">
        <v>33</v>
      </c>
    </row>
    <row r="509" spans="1:11" x14ac:dyDescent="0.35">
      <c r="A509" t="s">
        <v>550</v>
      </c>
      <c r="B509" s="1">
        <v>45628</v>
      </c>
      <c r="C509" t="s">
        <v>12</v>
      </c>
      <c r="D509" t="s">
        <v>13</v>
      </c>
      <c r="E509" t="s">
        <v>39</v>
      </c>
      <c r="F509" t="s">
        <v>55</v>
      </c>
      <c r="G509">
        <v>2</v>
      </c>
      <c r="H509">
        <v>37082</v>
      </c>
      <c r="I509">
        <v>74164</v>
      </c>
      <c r="J509" t="s">
        <v>21</v>
      </c>
      <c r="K509" t="s">
        <v>17</v>
      </c>
    </row>
    <row r="510" spans="1:11" x14ac:dyDescent="0.35">
      <c r="A510" t="s">
        <v>551</v>
      </c>
      <c r="B510" s="1">
        <v>45356</v>
      </c>
      <c r="C510" t="s">
        <v>37</v>
      </c>
      <c r="D510" t="s">
        <v>19</v>
      </c>
      <c r="E510" t="s">
        <v>25</v>
      </c>
      <c r="F510" t="s">
        <v>26</v>
      </c>
      <c r="G510">
        <v>10</v>
      </c>
      <c r="H510">
        <v>27281</v>
      </c>
      <c r="I510">
        <v>272810</v>
      </c>
      <c r="J510" t="s">
        <v>32</v>
      </c>
      <c r="K510" t="s">
        <v>22</v>
      </c>
    </row>
    <row r="511" spans="1:11" x14ac:dyDescent="0.35">
      <c r="A511" t="s">
        <v>552</v>
      </c>
      <c r="B511" s="1">
        <v>45412</v>
      </c>
      <c r="C511" t="s">
        <v>29</v>
      </c>
      <c r="D511" t="s">
        <v>13</v>
      </c>
      <c r="E511" t="s">
        <v>14</v>
      </c>
      <c r="F511" t="s">
        <v>20</v>
      </c>
      <c r="G511">
        <v>11</v>
      </c>
      <c r="H511">
        <v>17268</v>
      </c>
      <c r="I511">
        <v>189948</v>
      </c>
      <c r="J511" t="s">
        <v>32</v>
      </c>
      <c r="K511" t="s">
        <v>17</v>
      </c>
    </row>
    <row r="512" spans="1:11" x14ac:dyDescent="0.35">
      <c r="A512" t="s">
        <v>553</v>
      </c>
      <c r="B512" s="1">
        <v>45543</v>
      </c>
      <c r="C512" t="s">
        <v>29</v>
      </c>
      <c r="D512" t="s">
        <v>38</v>
      </c>
      <c r="E512" t="s">
        <v>39</v>
      </c>
      <c r="F512" t="s">
        <v>55</v>
      </c>
      <c r="G512">
        <v>14</v>
      </c>
      <c r="H512">
        <v>14281</v>
      </c>
      <c r="I512">
        <v>199934</v>
      </c>
      <c r="J512" t="s">
        <v>27</v>
      </c>
      <c r="K512" t="s">
        <v>22</v>
      </c>
    </row>
    <row r="513" spans="1:11" x14ac:dyDescent="0.35">
      <c r="A513" t="s">
        <v>554</v>
      </c>
      <c r="B513" s="1">
        <v>45498</v>
      </c>
      <c r="C513" t="s">
        <v>12</v>
      </c>
      <c r="D513" t="s">
        <v>38</v>
      </c>
      <c r="E513" t="s">
        <v>14</v>
      </c>
      <c r="F513" t="s">
        <v>62</v>
      </c>
      <c r="G513">
        <v>19</v>
      </c>
      <c r="H513">
        <v>43945</v>
      </c>
      <c r="I513">
        <v>834955</v>
      </c>
      <c r="J513" t="s">
        <v>21</v>
      </c>
      <c r="K513" t="s">
        <v>17</v>
      </c>
    </row>
    <row r="514" spans="1:11" x14ac:dyDescent="0.35">
      <c r="A514" t="s">
        <v>555</v>
      </c>
      <c r="B514" s="1">
        <v>45293</v>
      </c>
      <c r="C514" t="s">
        <v>37</v>
      </c>
      <c r="D514" t="s">
        <v>38</v>
      </c>
      <c r="E514" t="s">
        <v>14</v>
      </c>
      <c r="F514" t="s">
        <v>15</v>
      </c>
      <c r="G514">
        <v>13</v>
      </c>
      <c r="H514">
        <v>34637</v>
      </c>
      <c r="I514">
        <v>450281</v>
      </c>
      <c r="J514" t="s">
        <v>21</v>
      </c>
      <c r="K514" t="s">
        <v>17</v>
      </c>
    </row>
    <row r="515" spans="1:11" x14ac:dyDescent="0.35">
      <c r="A515" t="s">
        <v>556</v>
      </c>
      <c r="B515" s="1">
        <v>45435</v>
      </c>
      <c r="C515" t="s">
        <v>29</v>
      </c>
      <c r="D515" t="s">
        <v>35</v>
      </c>
      <c r="E515" t="s">
        <v>39</v>
      </c>
      <c r="F515" t="s">
        <v>40</v>
      </c>
      <c r="G515">
        <v>20</v>
      </c>
      <c r="H515">
        <v>19305</v>
      </c>
      <c r="I515">
        <v>386100</v>
      </c>
      <c r="J515" t="s">
        <v>32</v>
      </c>
      <c r="K515" t="s">
        <v>22</v>
      </c>
    </row>
    <row r="516" spans="1:11" x14ac:dyDescent="0.35">
      <c r="A516" t="s">
        <v>557</v>
      </c>
      <c r="B516" s="1">
        <v>45605</v>
      </c>
      <c r="C516" t="s">
        <v>12</v>
      </c>
      <c r="D516" t="s">
        <v>13</v>
      </c>
      <c r="E516" t="s">
        <v>39</v>
      </c>
      <c r="F516" t="s">
        <v>55</v>
      </c>
      <c r="G516">
        <v>11</v>
      </c>
      <c r="H516">
        <v>21432</v>
      </c>
      <c r="I516">
        <v>235752</v>
      </c>
      <c r="J516" t="s">
        <v>21</v>
      </c>
      <c r="K516" t="s">
        <v>33</v>
      </c>
    </row>
    <row r="517" spans="1:11" x14ac:dyDescent="0.35">
      <c r="A517" t="s">
        <v>558</v>
      </c>
      <c r="B517" s="1">
        <v>45444</v>
      </c>
      <c r="C517" t="s">
        <v>12</v>
      </c>
      <c r="D517" t="s">
        <v>35</v>
      </c>
      <c r="E517" t="s">
        <v>39</v>
      </c>
      <c r="F517" t="s">
        <v>40</v>
      </c>
      <c r="G517">
        <v>9</v>
      </c>
      <c r="H517">
        <v>34749</v>
      </c>
      <c r="I517">
        <v>312741</v>
      </c>
      <c r="J517" t="s">
        <v>21</v>
      </c>
      <c r="K517" t="s">
        <v>33</v>
      </c>
    </row>
    <row r="518" spans="1:11" x14ac:dyDescent="0.35">
      <c r="A518" t="s">
        <v>559</v>
      </c>
      <c r="B518" s="1">
        <v>45378</v>
      </c>
      <c r="C518" t="s">
        <v>43</v>
      </c>
      <c r="D518" t="s">
        <v>19</v>
      </c>
      <c r="E518" t="s">
        <v>30</v>
      </c>
      <c r="F518" t="s">
        <v>81</v>
      </c>
      <c r="G518">
        <v>18</v>
      </c>
      <c r="H518">
        <v>9802</v>
      </c>
      <c r="I518">
        <v>176436</v>
      </c>
      <c r="J518" t="s">
        <v>27</v>
      </c>
      <c r="K518" t="s">
        <v>22</v>
      </c>
    </row>
    <row r="519" spans="1:11" x14ac:dyDescent="0.35">
      <c r="A519" t="s">
        <v>560</v>
      </c>
      <c r="B519" s="1">
        <v>45607</v>
      </c>
      <c r="C519" t="s">
        <v>24</v>
      </c>
      <c r="D519" t="s">
        <v>19</v>
      </c>
      <c r="E519" t="s">
        <v>25</v>
      </c>
      <c r="F519" t="s">
        <v>26</v>
      </c>
      <c r="G519">
        <v>5</v>
      </c>
      <c r="H519">
        <v>32973</v>
      </c>
      <c r="I519">
        <v>164865</v>
      </c>
      <c r="J519" t="s">
        <v>16</v>
      </c>
      <c r="K519" t="s">
        <v>33</v>
      </c>
    </row>
    <row r="520" spans="1:11" x14ac:dyDescent="0.35">
      <c r="A520" t="s">
        <v>561</v>
      </c>
      <c r="B520" s="1">
        <v>45540</v>
      </c>
      <c r="C520" t="s">
        <v>12</v>
      </c>
      <c r="D520" t="s">
        <v>13</v>
      </c>
      <c r="E520" t="s">
        <v>25</v>
      </c>
      <c r="F520" t="s">
        <v>58</v>
      </c>
      <c r="G520">
        <v>15</v>
      </c>
      <c r="H520">
        <v>36334</v>
      </c>
      <c r="I520">
        <v>545010</v>
      </c>
      <c r="J520" t="s">
        <v>16</v>
      </c>
      <c r="K520" t="s">
        <v>33</v>
      </c>
    </row>
    <row r="521" spans="1:11" x14ac:dyDescent="0.35">
      <c r="A521" t="s">
        <v>562</v>
      </c>
      <c r="B521" s="1">
        <v>45355</v>
      </c>
      <c r="C521" t="s">
        <v>12</v>
      </c>
      <c r="D521" t="s">
        <v>19</v>
      </c>
      <c r="E521" t="s">
        <v>39</v>
      </c>
      <c r="F521" t="s">
        <v>65</v>
      </c>
      <c r="G521">
        <v>11</v>
      </c>
      <c r="H521">
        <v>24672</v>
      </c>
      <c r="I521">
        <v>271392</v>
      </c>
      <c r="J521" t="s">
        <v>16</v>
      </c>
      <c r="K521" t="s">
        <v>17</v>
      </c>
    </row>
    <row r="522" spans="1:11" x14ac:dyDescent="0.35">
      <c r="A522" t="s">
        <v>563</v>
      </c>
      <c r="B522" s="1">
        <v>45635</v>
      </c>
      <c r="C522" t="s">
        <v>29</v>
      </c>
      <c r="D522" t="s">
        <v>13</v>
      </c>
      <c r="E522" t="s">
        <v>14</v>
      </c>
      <c r="F522" t="s">
        <v>20</v>
      </c>
      <c r="G522">
        <v>6</v>
      </c>
      <c r="H522">
        <v>14085</v>
      </c>
      <c r="I522">
        <v>84510</v>
      </c>
      <c r="J522" t="s">
        <v>16</v>
      </c>
      <c r="K522" t="s">
        <v>33</v>
      </c>
    </row>
    <row r="523" spans="1:11" x14ac:dyDescent="0.35">
      <c r="A523" t="s">
        <v>564</v>
      </c>
      <c r="B523" s="1">
        <v>45540</v>
      </c>
      <c r="C523" t="s">
        <v>24</v>
      </c>
      <c r="D523" t="s">
        <v>35</v>
      </c>
      <c r="E523" t="s">
        <v>25</v>
      </c>
      <c r="F523" t="s">
        <v>48</v>
      </c>
      <c r="G523">
        <v>17</v>
      </c>
      <c r="H523">
        <v>17654</v>
      </c>
      <c r="I523">
        <v>300118</v>
      </c>
      <c r="J523" t="s">
        <v>27</v>
      </c>
      <c r="K523" t="s">
        <v>17</v>
      </c>
    </row>
    <row r="524" spans="1:11" x14ac:dyDescent="0.35">
      <c r="A524" t="s">
        <v>565</v>
      </c>
      <c r="B524" s="1">
        <v>45304</v>
      </c>
      <c r="C524" t="s">
        <v>24</v>
      </c>
      <c r="D524" t="s">
        <v>19</v>
      </c>
      <c r="E524" t="s">
        <v>39</v>
      </c>
      <c r="F524" t="s">
        <v>55</v>
      </c>
      <c r="G524">
        <v>5</v>
      </c>
      <c r="H524">
        <v>1593</v>
      </c>
      <c r="I524">
        <v>7965</v>
      </c>
      <c r="J524" t="s">
        <v>16</v>
      </c>
      <c r="K524" t="s">
        <v>33</v>
      </c>
    </row>
    <row r="525" spans="1:11" x14ac:dyDescent="0.35">
      <c r="A525" t="s">
        <v>566</v>
      </c>
      <c r="B525" s="1">
        <v>45512</v>
      </c>
      <c r="C525" t="s">
        <v>37</v>
      </c>
      <c r="D525" t="s">
        <v>13</v>
      </c>
      <c r="E525" t="s">
        <v>14</v>
      </c>
      <c r="F525" t="s">
        <v>15</v>
      </c>
      <c r="G525">
        <v>1</v>
      </c>
      <c r="H525">
        <v>7074</v>
      </c>
      <c r="I525">
        <v>7074</v>
      </c>
      <c r="J525" t="s">
        <v>21</v>
      </c>
      <c r="K525" t="s">
        <v>17</v>
      </c>
    </row>
    <row r="526" spans="1:11" x14ac:dyDescent="0.35">
      <c r="A526" t="s">
        <v>567</v>
      </c>
      <c r="B526" s="1">
        <v>45309</v>
      </c>
      <c r="C526" t="s">
        <v>24</v>
      </c>
      <c r="D526" t="s">
        <v>35</v>
      </c>
      <c r="E526" t="s">
        <v>14</v>
      </c>
      <c r="F526" t="s">
        <v>15</v>
      </c>
      <c r="G526">
        <v>13</v>
      </c>
      <c r="H526">
        <v>45419</v>
      </c>
      <c r="I526">
        <v>590447</v>
      </c>
      <c r="J526" t="s">
        <v>32</v>
      </c>
      <c r="K526" t="s">
        <v>22</v>
      </c>
    </row>
    <row r="527" spans="1:11" x14ac:dyDescent="0.35">
      <c r="A527" t="s">
        <v>568</v>
      </c>
      <c r="B527" s="1">
        <v>45344</v>
      </c>
      <c r="C527" t="s">
        <v>12</v>
      </c>
      <c r="D527" t="s">
        <v>13</v>
      </c>
      <c r="E527" t="s">
        <v>14</v>
      </c>
      <c r="F527" t="s">
        <v>62</v>
      </c>
      <c r="G527">
        <v>5</v>
      </c>
      <c r="H527">
        <v>13882</v>
      </c>
      <c r="I527">
        <v>69410</v>
      </c>
      <c r="J527" t="s">
        <v>32</v>
      </c>
      <c r="K527" t="s">
        <v>22</v>
      </c>
    </row>
    <row r="528" spans="1:11" x14ac:dyDescent="0.35">
      <c r="A528" t="s">
        <v>569</v>
      </c>
      <c r="B528" s="1">
        <v>45295</v>
      </c>
      <c r="C528" t="s">
        <v>43</v>
      </c>
      <c r="D528" t="s">
        <v>19</v>
      </c>
      <c r="E528" t="s">
        <v>25</v>
      </c>
      <c r="F528" t="s">
        <v>48</v>
      </c>
      <c r="G528">
        <v>14</v>
      </c>
      <c r="H528">
        <v>15985</v>
      </c>
      <c r="I528">
        <v>223790</v>
      </c>
      <c r="J528" t="s">
        <v>32</v>
      </c>
      <c r="K528" t="s">
        <v>33</v>
      </c>
    </row>
    <row r="529" spans="1:11" x14ac:dyDescent="0.35">
      <c r="A529" t="s">
        <v>570</v>
      </c>
      <c r="B529" s="1">
        <v>45436</v>
      </c>
      <c r="C529" t="s">
        <v>12</v>
      </c>
      <c r="D529" t="s">
        <v>13</v>
      </c>
      <c r="E529" t="s">
        <v>14</v>
      </c>
      <c r="F529" t="s">
        <v>15</v>
      </c>
      <c r="G529">
        <v>8</v>
      </c>
      <c r="H529">
        <v>47448</v>
      </c>
      <c r="I529">
        <v>379584</v>
      </c>
      <c r="J529" t="s">
        <v>27</v>
      </c>
      <c r="K529" t="s">
        <v>33</v>
      </c>
    </row>
    <row r="530" spans="1:11" x14ac:dyDescent="0.35">
      <c r="A530" t="s">
        <v>571</v>
      </c>
      <c r="B530" s="1">
        <v>45627</v>
      </c>
      <c r="C530" t="s">
        <v>43</v>
      </c>
      <c r="D530" t="s">
        <v>35</v>
      </c>
      <c r="E530" t="s">
        <v>25</v>
      </c>
      <c r="F530" t="s">
        <v>58</v>
      </c>
      <c r="G530">
        <v>20</v>
      </c>
      <c r="H530">
        <v>47044</v>
      </c>
      <c r="I530">
        <v>940880</v>
      </c>
      <c r="J530" t="s">
        <v>16</v>
      </c>
      <c r="K530" t="s">
        <v>17</v>
      </c>
    </row>
    <row r="531" spans="1:11" x14ac:dyDescent="0.35">
      <c r="A531" t="s">
        <v>572</v>
      </c>
      <c r="B531" s="1">
        <v>45466</v>
      </c>
      <c r="C531" t="s">
        <v>29</v>
      </c>
      <c r="D531" t="s">
        <v>38</v>
      </c>
      <c r="E531" t="s">
        <v>30</v>
      </c>
      <c r="F531" t="s">
        <v>81</v>
      </c>
      <c r="G531">
        <v>17</v>
      </c>
      <c r="H531">
        <v>30983</v>
      </c>
      <c r="I531">
        <v>526711</v>
      </c>
      <c r="J531" t="s">
        <v>16</v>
      </c>
      <c r="K531" t="s">
        <v>22</v>
      </c>
    </row>
    <row r="532" spans="1:11" x14ac:dyDescent="0.35">
      <c r="A532" t="s">
        <v>573</v>
      </c>
      <c r="B532" s="1">
        <v>45461</v>
      </c>
      <c r="C532" t="s">
        <v>29</v>
      </c>
      <c r="D532" t="s">
        <v>13</v>
      </c>
      <c r="E532" t="s">
        <v>14</v>
      </c>
      <c r="F532" t="s">
        <v>62</v>
      </c>
      <c r="G532">
        <v>19</v>
      </c>
      <c r="H532">
        <v>24034</v>
      </c>
      <c r="I532">
        <v>456646</v>
      </c>
      <c r="J532" t="s">
        <v>27</v>
      </c>
      <c r="K532" t="s">
        <v>17</v>
      </c>
    </row>
    <row r="533" spans="1:11" x14ac:dyDescent="0.35">
      <c r="A533" t="s">
        <v>574</v>
      </c>
      <c r="B533" s="1">
        <v>45358</v>
      </c>
      <c r="C533" t="s">
        <v>43</v>
      </c>
      <c r="D533" t="s">
        <v>19</v>
      </c>
      <c r="E533" t="s">
        <v>25</v>
      </c>
      <c r="F533" t="s">
        <v>26</v>
      </c>
      <c r="G533">
        <v>15</v>
      </c>
      <c r="H533">
        <v>22623</v>
      </c>
      <c r="I533">
        <v>339345</v>
      </c>
      <c r="J533" t="s">
        <v>27</v>
      </c>
      <c r="K533" t="s">
        <v>22</v>
      </c>
    </row>
    <row r="534" spans="1:11" x14ac:dyDescent="0.35">
      <c r="A534" t="s">
        <v>575</v>
      </c>
      <c r="B534" s="1">
        <v>45647</v>
      </c>
      <c r="C534" t="s">
        <v>29</v>
      </c>
      <c r="D534" t="s">
        <v>19</v>
      </c>
      <c r="E534" t="s">
        <v>14</v>
      </c>
      <c r="F534" t="s">
        <v>15</v>
      </c>
      <c r="G534">
        <v>6</v>
      </c>
      <c r="H534">
        <v>38241</v>
      </c>
      <c r="I534">
        <v>229446</v>
      </c>
      <c r="J534" t="s">
        <v>27</v>
      </c>
      <c r="K534" t="s">
        <v>33</v>
      </c>
    </row>
    <row r="535" spans="1:11" x14ac:dyDescent="0.35">
      <c r="A535" t="s">
        <v>576</v>
      </c>
      <c r="B535" s="1">
        <v>45510</v>
      </c>
      <c r="C535" t="s">
        <v>43</v>
      </c>
      <c r="D535" t="s">
        <v>38</v>
      </c>
      <c r="E535" t="s">
        <v>25</v>
      </c>
      <c r="F535" t="s">
        <v>26</v>
      </c>
      <c r="G535">
        <v>9</v>
      </c>
      <c r="H535">
        <v>21550</v>
      </c>
      <c r="I535">
        <v>193950</v>
      </c>
      <c r="J535" t="s">
        <v>32</v>
      </c>
      <c r="K535" t="s">
        <v>22</v>
      </c>
    </row>
    <row r="536" spans="1:11" x14ac:dyDescent="0.35">
      <c r="A536" t="s">
        <v>577</v>
      </c>
      <c r="B536" s="1">
        <v>45612</v>
      </c>
      <c r="C536" t="s">
        <v>24</v>
      </c>
      <c r="D536" t="s">
        <v>35</v>
      </c>
      <c r="E536" t="s">
        <v>14</v>
      </c>
      <c r="F536" t="s">
        <v>15</v>
      </c>
      <c r="G536">
        <v>2</v>
      </c>
      <c r="H536">
        <v>7265</v>
      </c>
      <c r="I536">
        <v>14530</v>
      </c>
      <c r="J536" t="s">
        <v>16</v>
      </c>
      <c r="K536" t="s">
        <v>33</v>
      </c>
    </row>
    <row r="537" spans="1:11" x14ac:dyDescent="0.35">
      <c r="A537" t="s">
        <v>578</v>
      </c>
      <c r="B537" s="1">
        <v>45391</v>
      </c>
      <c r="C537" t="s">
        <v>29</v>
      </c>
      <c r="D537" t="s">
        <v>19</v>
      </c>
      <c r="E537" t="s">
        <v>30</v>
      </c>
      <c r="F537" t="s">
        <v>81</v>
      </c>
      <c r="G537">
        <v>19</v>
      </c>
      <c r="H537">
        <v>9330</v>
      </c>
      <c r="I537">
        <v>177270</v>
      </c>
      <c r="J537" t="s">
        <v>16</v>
      </c>
      <c r="K537" t="s">
        <v>33</v>
      </c>
    </row>
    <row r="538" spans="1:11" x14ac:dyDescent="0.35">
      <c r="A538" t="s">
        <v>579</v>
      </c>
      <c r="B538" s="1">
        <v>45369</v>
      </c>
      <c r="C538" t="s">
        <v>12</v>
      </c>
      <c r="D538" t="s">
        <v>38</v>
      </c>
      <c r="E538" t="s">
        <v>14</v>
      </c>
      <c r="F538" t="s">
        <v>62</v>
      </c>
      <c r="G538">
        <v>16</v>
      </c>
      <c r="H538">
        <v>2948</v>
      </c>
      <c r="I538">
        <v>47168</v>
      </c>
      <c r="J538" t="s">
        <v>16</v>
      </c>
      <c r="K538" t="s">
        <v>22</v>
      </c>
    </row>
    <row r="539" spans="1:11" x14ac:dyDescent="0.35">
      <c r="A539" t="s">
        <v>580</v>
      </c>
      <c r="B539" s="1">
        <v>45429</v>
      </c>
      <c r="C539" t="s">
        <v>43</v>
      </c>
      <c r="D539" t="s">
        <v>38</v>
      </c>
      <c r="E539" t="s">
        <v>39</v>
      </c>
      <c r="F539" t="s">
        <v>55</v>
      </c>
      <c r="G539">
        <v>7</v>
      </c>
      <c r="H539">
        <v>4401</v>
      </c>
      <c r="I539">
        <v>30807</v>
      </c>
      <c r="J539" t="s">
        <v>27</v>
      </c>
      <c r="K539" t="s">
        <v>33</v>
      </c>
    </row>
    <row r="540" spans="1:11" x14ac:dyDescent="0.35">
      <c r="A540" t="s">
        <v>581</v>
      </c>
      <c r="B540" s="1">
        <v>45517</v>
      </c>
      <c r="C540" t="s">
        <v>24</v>
      </c>
      <c r="D540" t="s">
        <v>38</v>
      </c>
      <c r="E540" t="s">
        <v>14</v>
      </c>
      <c r="F540" t="s">
        <v>62</v>
      </c>
      <c r="G540">
        <v>17</v>
      </c>
      <c r="H540">
        <v>40487</v>
      </c>
      <c r="I540">
        <v>688279</v>
      </c>
      <c r="J540" t="s">
        <v>16</v>
      </c>
      <c r="K540" t="s">
        <v>22</v>
      </c>
    </row>
    <row r="541" spans="1:11" x14ac:dyDescent="0.35">
      <c r="A541" t="s">
        <v>582</v>
      </c>
      <c r="B541" s="1">
        <v>45494</v>
      </c>
      <c r="C541" t="s">
        <v>12</v>
      </c>
      <c r="D541" t="s">
        <v>13</v>
      </c>
      <c r="E541" t="s">
        <v>30</v>
      </c>
      <c r="F541" t="s">
        <v>31</v>
      </c>
      <c r="G541">
        <v>19</v>
      </c>
      <c r="H541">
        <v>22546</v>
      </c>
      <c r="I541">
        <v>428374</v>
      </c>
      <c r="J541" t="s">
        <v>27</v>
      </c>
      <c r="K541" t="s">
        <v>17</v>
      </c>
    </row>
    <row r="542" spans="1:11" x14ac:dyDescent="0.35">
      <c r="A542" t="s">
        <v>583</v>
      </c>
      <c r="B542" s="1">
        <v>45327</v>
      </c>
      <c r="C542" t="s">
        <v>43</v>
      </c>
      <c r="D542" t="s">
        <v>19</v>
      </c>
      <c r="E542" t="s">
        <v>30</v>
      </c>
      <c r="F542" t="s">
        <v>81</v>
      </c>
      <c r="G542">
        <v>8</v>
      </c>
      <c r="H542">
        <v>41522</v>
      </c>
      <c r="I542">
        <v>332176</v>
      </c>
      <c r="J542" t="s">
        <v>32</v>
      </c>
      <c r="K542" t="s">
        <v>22</v>
      </c>
    </row>
    <row r="543" spans="1:11" x14ac:dyDescent="0.35">
      <c r="A543" t="s">
        <v>584</v>
      </c>
      <c r="B543" s="1">
        <v>45441</v>
      </c>
      <c r="C543" t="s">
        <v>12</v>
      </c>
      <c r="D543" t="s">
        <v>35</v>
      </c>
      <c r="E543" t="s">
        <v>25</v>
      </c>
      <c r="F543" t="s">
        <v>48</v>
      </c>
      <c r="G543">
        <v>17</v>
      </c>
      <c r="H543">
        <v>10361</v>
      </c>
      <c r="I543">
        <v>176137</v>
      </c>
      <c r="J543" t="s">
        <v>27</v>
      </c>
      <c r="K543" t="s">
        <v>22</v>
      </c>
    </row>
    <row r="544" spans="1:11" x14ac:dyDescent="0.35">
      <c r="A544" t="s">
        <v>585</v>
      </c>
      <c r="B544" s="1">
        <v>45650</v>
      </c>
      <c r="C544" t="s">
        <v>24</v>
      </c>
      <c r="D544" t="s">
        <v>19</v>
      </c>
      <c r="E544" t="s">
        <v>14</v>
      </c>
      <c r="F544" t="s">
        <v>20</v>
      </c>
      <c r="G544">
        <v>9</v>
      </c>
      <c r="H544">
        <v>17697</v>
      </c>
      <c r="I544">
        <v>159273</v>
      </c>
      <c r="J544" t="s">
        <v>21</v>
      </c>
      <c r="K544" t="s">
        <v>22</v>
      </c>
    </row>
    <row r="545" spans="1:11" x14ac:dyDescent="0.35">
      <c r="A545" t="s">
        <v>586</v>
      </c>
      <c r="B545" s="1">
        <v>45651</v>
      </c>
      <c r="C545" t="s">
        <v>12</v>
      </c>
      <c r="D545" t="s">
        <v>38</v>
      </c>
      <c r="E545" t="s">
        <v>14</v>
      </c>
      <c r="F545" t="s">
        <v>20</v>
      </c>
      <c r="G545">
        <v>7</v>
      </c>
      <c r="H545">
        <v>22233</v>
      </c>
      <c r="I545">
        <v>155631</v>
      </c>
      <c r="J545" t="s">
        <v>21</v>
      </c>
      <c r="K545" t="s">
        <v>17</v>
      </c>
    </row>
    <row r="546" spans="1:11" x14ac:dyDescent="0.35">
      <c r="A546" t="s">
        <v>587</v>
      </c>
      <c r="B546" s="1">
        <v>45539</v>
      </c>
      <c r="C546" t="s">
        <v>24</v>
      </c>
      <c r="D546" t="s">
        <v>35</v>
      </c>
      <c r="E546" t="s">
        <v>39</v>
      </c>
      <c r="F546" t="s">
        <v>55</v>
      </c>
      <c r="G546">
        <v>2</v>
      </c>
      <c r="H546">
        <v>23733</v>
      </c>
      <c r="I546">
        <v>47466</v>
      </c>
      <c r="J546" t="s">
        <v>16</v>
      </c>
      <c r="K546" t="s">
        <v>22</v>
      </c>
    </row>
    <row r="547" spans="1:11" x14ac:dyDescent="0.35">
      <c r="A547" t="s">
        <v>588</v>
      </c>
      <c r="B547" s="1">
        <v>45361</v>
      </c>
      <c r="C547" t="s">
        <v>43</v>
      </c>
      <c r="D547" t="s">
        <v>19</v>
      </c>
      <c r="E547" t="s">
        <v>25</v>
      </c>
      <c r="F547" t="s">
        <v>58</v>
      </c>
      <c r="G547">
        <v>8</v>
      </c>
      <c r="H547">
        <v>2664</v>
      </c>
      <c r="I547">
        <v>21312</v>
      </c>
      <c r="J547" t="s">
        <v>32</v>
      </c>
      <c r="K547" t="s">
        <v>33</v>
      </c>
    </row>
    <row r="548" spans="1:11" x14ac:dyDescent="0.35">
      <c r="A548" t="s">
        <v>589</v>
      </c>
      <c r="B548" s="1">
        <v>45340</v>
      </c>
      <c r="C548" t="s">
        <v>29</v>
      </c>
      <c r="D548" t="s">
        <v>19</v>
      </c>
      <c r="E548" t="s">
        <v>25</v>
      </c>
      <c r="F548" t="s">
        <v>48</v>
      </c>
      <c r="G548">
        <v>4</v>
      </c>
      <c r="H548">
        <v>29341</v>
      </c>
      <c r="I548">
        <v>117364</v>
      </c>
      <c r="J548" t="s">
        <v>27</v>
      </c>
      <c r="K548" t="s">
        <v>33</v>
      </c>
    </row>
    <row r="549" spans="1:11" x14ac:dyDescent="0.35">
      <c r="A549" t="s">
        <v>590</v>
      </c>
      <c r="B549" s="1">
        <v>45566</v>
      </c>
      <c r="C549" t="s">
        <v>29</v>
      </c>
      <c r="D549" t="s">
        <v>13</v>
      </c>
      <c r="E549" t="s">
        <v>39</v>
      </c>
      <c r="F549" t="s">
        <v>55</v>
      </c>
      <c r="G549">
        <v>14</v>
      </c>
      <c r="H549">
        <v>35025</v>
      </c>
      <c r="I549">
        <v>490350</v>
      </c>
      <c r="J549" t="s">
        <v>16</v>
      </c>
      <c r="K549" t="s">
        <v>17</v>
      </c>
    </row>
    <row r="550" spans="1:11" x14ac:dyDescent="0.35">
      <c r="A550" t="s">
        <v>591</v>
      </c>
      <c r="B550" s="1">
        <v>45570</v>
      </c>
      <c r="C550" t="s">
        <v>12</v>
      </c>
      <c r="D550" t="s">
        <v>13</v>
      </c>
      <c r="E550" t="s">
        <v>30</v>
      </c>
      <c r="F550" t="s">
        <v>81</v>
      </c>
      <c r="G550">
        <v>19</v>
      </c>
      <c r="H550">
        <v>596</v>
      </c>
      <c r="I550">
        <v>11324</v>
      </c>
      <c r="J550" t="s">
        <v>16</v>
      </c>
      <c r="K550" t="s">
        <v>22</v>
      </c>
    </row>
    <row r="551" spans="1:11" x14ac:dyDescent="0.35">
      <c r="A551" t="s">
        <v>592</v>
      </c>
      <c r="B551" s="1">
        <v>45614</v>
      </c>
      <c r="C551" t="s">
        <v>24</v>
      </c>
      <c r="D551" t="s">
        <v>38</v>
      </c>
      <c r="E551" t="s">
        <v>30</v>
      </c>
      <c r="F551" t="s">
        <v>31</v>
      </c>
      <c r="G551">
        <v>20</v>
      </c>
      <c r="H551">
        <v>40009</v>
      </c>
      <c r="I551">
        <v>800180</v>
      </c>
      <c r="J551" t="s">
        <v>21</v>
      </c>
      <c r="K551" t="s">
        <v>22</v>
      </c>
    </row>
    <row r="552" spans="1:11" x14ac:dyDescent="0.35">
      <c r="A552" t="s">
        <v>593</v>
      </c>
      <c r="B552" s="1">
        <v>45299</v>
      </c>
      <c r="C552" t="s">
        <v>37</v>
      </c>
      <c r="D552" t="s">
        <v>35</v>
      </c>
      <c r="E552" t="s">
        <v>39</v>
      </c>
      <c r="F552" t="s">
        <v>65</v>
      </c>
      <c r="G552">
        <v>18</v>
      </c>
      <c r="H552">
        <v>28324</v>
      </c>
      <c r="I552">
        <v>509832</v>
      </c>
      <c r="J552" t="s">
        <v>32</v>
      </c>
      <c r="K552" t="s">
        <v>17</v>
      </c>
    </row>
    <row r="553" spans="1:11" x14ac:dyDescent="0.35">
      <c r="A553" t="s">
        <v>594</v>
      </c>
      <c r="B553" s="1">
        <v>45657</v>
      </c>
      <c r="C553" t="s">
        <v>43</v>
      </c>
      <c r="D553" t="s">
        <v>38</v>
      </c>
      <c r="E553" t="s">
        <v>14</v>
      </c>
      <c r="F553" t="s">
        <v>15</v>
      </c>
      <c r="G553">
        <v>18</v>
      </c>
      <c r="H553">
        <v>38077</v>
      </c>
      <c r="I553">
        <v>685386</v>
      </c>
      <c r="J553" t="s">
        <v>16</v>
      </c>
      <c r="K553" t="s">
        <v>17</v>
      </c>
    </row>
    <row r="554" spans="1:11" x14ac:dyDescent="0.35">
      <c r="A554" t="s">
        <v>595</v>
      </c>
      <c r="B554" s="1">
        <v>45586</v>
      </c>
      <c r="C554" t="s">
        <v>24</v>
      </c>
      <c r="D554" t="s">
        <v>38</v>
      </c>
      <c r="E554" t="s">
        <v>25</v>
      </c>
      <c r="F554" t="s">
        <v>26</v>
      </c>
      <c r="G554">
        <v>1</v>
      </c>
      <c r="H554">
        <v>30927</v>
      </c>
      <c r="I554">
        <v>30927</v>
      </c>
      <c r="J554" t="s">
        <v>21</v>
      </c>
      <c r="K554" t="s">
        <v>17</v>
      </c>
    </row>
    <row r="555" spans="1:11" x14ac:dyDescent="0.35">
      <c r="A555" t="s">
        <v>596</v>
      </c>
      <c r="B555" s="1">
        <v>45443</v>
      </c>
      <c r="C555" t="s">
        <v>37</v>
      </c>
      <c r="D555" t="s">
        <v>13</v>
      </c>
      <c r="E555" t="s">
        <v>14</v>
      </c>
      <c r="F555" t="s">
        <v>62</v>
      </c>
      <c r="G555">
        <v>18</v>
      </c>
      <c r="H555">
        <v>28888</v>
      </c>
      <c r="I555">
        <v>519984</v>
      </c>
      <c r="J555" t="s">
        <v>21</v>
      </c>
      <c r="K555" t="s">
        <v>17</v>
      </c>
    </row>
    <row r="556" spans="1:11" x14ac:dyDescent="0.35">
      <c r="A556" t="s">
        <v>597</v>
      </c>
      <c r="B556" s="1">
        <v>45428</v>
      </c>
      <c r="C556" t="s">
        <v>12</v>
      </c>
      <c r="D556" t="s">
        <v>13</v>
      </c>
      <c r="E556" t="s">
        <v>30</v>
      </c>
      <c r="F556" t="s">
        <v>81</v>
      </c>
      <c r="G556">
        <v>9</v>
      </c>
      <c r="H556">
        <v>38345</v>
      </c>
      <c r="I556">
        <v>345105</v>
      </c>
      <c r="J556" t="s">
        <v>16</v>
      </c>
      <c r="K556" t="s">
        <v>17</v>
      </c>
    </row>
    <row r="557" spans="1:11" x14ac:dyDescent="0.35">
      <c r="A557" t="s">
        <v>598</v>
      </c>
      <c r="B557" s="1">
        <v>45435</v>
      </c>
      <c r="C557" t="s">
        <v>37</v>
      </c>
      <c r="D557" t="s">
        <v>19</v>
      </c>
      <c r="E557" t="s">
        <v>14</v>
      </c>
      <c r="F557" t="s">
        <v>15</v>
      </c>
      <c r="G557">
        <v>12</v>
      </c>
      <c r="H557">
        <v>10911</v>
      </c>
      <c r="I557">
        <v>130932</v>
      </c>
      <c r="J557" t="s">
        <v>32</v>
      </c>
      <c r="K557" t="s">
        <v>33</v>
      </c>
    </row>
    <row r="558" spans="1:11" x14ac:dyDescent="0.35">
      <c r="A558" t="s">
        <v>599</v>
      </c>
      <c r="B558" s="1">
        <v>45352</v>
      </c>
      <c r="C558" t="s">
        <v>12</v>
      </c>
      <c r="D558" t="s">
        <v>13</v>
      </c>
      <c r="E558" t="s">
        <v>30</v>
      </c>
      <c r="F558" t="s">
        <v>44</v>
      </c>
      <c r="G558">
        <v>3</v>
      </c>
      <c r="H558">
        <v>18463</v>
      </c>
      <c r="I558">
        <v>55389</v>
      </c>
      <c r="J558" t="s">
        <v>32</v>
      </c>
      <c r="K558" t="s">
        <v>22</v>
      </c>
    </row>
    <row r="559" spans="1:11" x14ac:dyDescent="0.35">
      <c r="A559" t="s">
        <v>600</v>
      </c>
      <c r="B559" s="1">
        <v>45311</v>
      </c>
      <c r="C559" t="s">
        <v>43</v>
      </c>
      <c r="D559" t="s">
        <v>13</v>
      </c>
      <c r="E559" t="s">
        <v>30</v>
      </c>
      <c r="F559" t="s">
        <v>81</v>
      </c>
      <c r="G559">
        <v>3</v>
      </c>
      <c r="H559">
        <v>45943</v>
      </c>
      <c r="I559">
        <v>137829</v>
      </c>
      <c r="J559" t="s">
        <v>27</v>
      </c>
      <c r="K559" t="s">
        <v>17</v>
      </c>
    </row>
    <row r="560" spans="1:11" x14ac:dyDescent="0.35">
      <c r="A560" t="s">
        <v>601</v>
      </c>
      <c r="B560" s="1">
        <v>45433</v>
      </c>
      <c r="C560" t="s">
        <v>29</v>
      </c>
      <c r="D560" t="s">
        <v>13</v>
      </c>
      <c r="E560" t="s">
        <v>30</v>
      </c>
      <c r="F560" t="s">
        <v>81</v>
      </c>
      <c r="G560">
        <v>8</v>
      </c>
      <c r="H560">
        <v>45557</v>
      </c>
      <c r="I560">
        <v>364456</v>
      </c>
      <c r="J560" t="s">
        <v>27</v>
      </c>
      <c r="K560" t="s">
        <v>33</v>
      </c>
    </row>
    <row r="561" spans="1:11" x14ac:dyDescent="0.35">
      <c r="A561" t="s">
        <v>602</v>
      </c>
      <c r="B561" s="1">
        <v>45404</v>
      </c>
      <c r="C561" t="s">
        <v>43</v>
      </c>
      <c r="D561" t="s">
        <v>35</v>
      </c>
      <c r="E561" t="s">
        <v>14</v>
      </c>
      <c r="F561" t="s">
        <v>15</v>
      </c>
      <c r="G561">
        <v>15</v>
      </c>
      <c r="H561">
        <v>35944</v>
      </c>
      <c r="I561">
        <v>539160</v>
      </c>
      <c r="J561" t="s">
        <v>32</v>
      </c>
      <c r="K561" t="s">
        <v>17</v>
      </c>
    </row>
    <row r="562" spans="1:11" x14ac:dyDescent="0.35">
      <c r="A562" t="s">
        <v>603</v>
      </c>
      <c r="B562" s="1">
        <v>45649</v>
      </c>
      <c r="C562" t="s">
        <v>37</v>
      </c>
      <c r="D562" t="s">
        <v>19</v>
      </c>
      <c r="E562" t="s">
        <v>25</v>
      </c>
      <c r="F562" t="s">
        <v>48</v>
      </c>
      <c r="G562">
        <v>17</v>
      </c>
      <c r="H562">
        <v>35834</v>
      </c>
      <c r="I562">
        <v>609178</v>
      </c>
      <c r="J562" t="s">
        <v>32</v>
      </c>
      <c r="K562" t="s">
        <v>22</v>
      </c>
    </row>
    <row r="563" spans="1:11" x14ac:dyDescent="0.35">
      <c r="A563" t="s">
        <v>604</v>
      </c>
      <c r="B563" s="1">
        <v>45363</v>
      </c>
      <c r="C563" t="s">
        <v>43</v>
      </c>
      <c r="D563" t="s">
        <v>35</v>
      </c>
      <c r="E563" t="s">
        <v>30</v>
      </c>
      <c r="F563" t="s">
        <v>81</v>
      </c>
      <c r="G563">
        <v>8</v>
      </c>
      <c r="H563">
        <v>23766</v>
      </c>
      <c r="I563">
        <v>190128</v>
      </c>
      <c r="J563" t="s">
        <v>32</v>
      </c>
      <c r="K563" t="s">
        <v>22</v>
      </c>
    </row>
    <row r="564" spans="1:11" x14ac:dyDescent="0.35">
      <c r="A564" t="s">
        <v>605</v>
      </c>
      <c r="B564" s="1">
        <v>45592</v>
      </c>
      <c r="C564" t="s">
        <v>37</v>
      </c>
      <c r="D564" t="s">
        <v>38</v>
      </c>
      <c r="E564" t="s">
        <v>30</v>
      </c>
      <c r="F564" t="s">
        <v>44</v>
      </c>
      <c r="G564">
        <v>13</v>
      </c>
      <c r="H564">
        <v>32103</v>
      </c>
      <c r="I564">
        <v>417339</v>
      </c>
      <c r="J564" t="s">
        <v>27</v>
      </c>
      <c r="K564" t="s">
        <v>17</v>
      </c>
    </row>
    <row r="565" spans="1:11" x14ac:dyDescent="0.35">
      <c r="A565" t="s">
        <v>606</v>
      </c>
      <c r="B565" s="1">
        <v>45430</v>
      </c>
      <c r="C565" t="s">
        <v>24</v>
      </c>
      <c r="D565" t="s">
        <v>35</v>
      </c>
      <c r="E565" t="s">
        <v>14</v>
      </c>
      <c r="F565" t="s">
        <v>20</v>
      </c>
      <c r="G565">
        <v>4</v>
      </c>
      <c r="H565">
        <v>30457</v>
      </c>
      <c r="I565">
        <v>121828</v>
      </c>
      <c r="J565" t="s">
        <v>27</v>
      </c>
      <c r="K565" t="s">
        <v>17</v>
      </c>
    </row>
    <row r="566" spans="1:11" x14ac:dyDescent="0.35">
      <c r="A566" t="s">
        <v>607</v>
      </c>
      <c r="B566" s="1">
        <v>45505</v>
      </c>
      <c r="C566" t="s">
        <v>12</v>
      </c>
      <c r="D566" t="s">
        <v>35</v>
      </c>
      <c r="E566" t="s">
        <v>30</v>
      </c>
      <c r="F566" t="s">
        <v>31</v>
      </c>
      <c r="G566">
        <v>11</v>
      </c>
      <c r="H566">
        <v>26088</v>
      </c>
      <c r="I566">
        <v>286968</v>
      </c>
      <c r="J566" t="s">
        <v>21</v>
      </c>
      <c r="K566" t="s">
        <v>17</v>
      </c>
    </row>
    <row r="567" spans="1:11" x14ac:dyDescent="0.35">
      <c r="A567" t="s">
        <v>608</v>
      </c>
      <c r="B567" s="1">
        <v>45328</v>
      </c>
      <c r="C567" t="s">
        <v>12</v>
      </c>
      <c r="D567" t="s">
        <v>38</v>
      </c>
      <c r="E567" t="s">
        <v>25</v>
      </c>
      <c r="F567" t="s">
        <v>26</v>
      </c>
      <c r="G567">
        <v>14</v>
      </c>
      <c r="H567">
        <v>8791</v>
      </c>
      <c r="I567">
        <v>123074</v>
      </c>
      <c r="J567" t="s">
        <v>27</v>
      </c>
      <c r="K567" t="s">
        <v>33</v>
      </c>
    </row>
    <row r="568" spans="1:11" x14ac:dyDescent="0.35">
      <c r="A568" t="s">
        <v>609</v>
      </c>
      <c r="B568" s="1">
        <v>45324</v>
      </c>
      <c r="C568" t="s">
        <v>12</v>
      </c>
      <c r="D568" t="s">
        <v>13</v>
      </c>
      <c r="E568" t="s">
        <v>14</v>
      </c>
      <c r="F568" t="s">
        <v>62</v>
      </c>
      <c r="G568">
        <v>19</v>
      </c>
      <c r="H568">
        <v>10634</v>
      </c>
      <c r="I568">
        <v>202046</v>
      </c>
      <c r="J568" t="s">
        <v>32</v>
      </c>
      <c r="K568" t="s">
        <v>33</v>
      </c>
    </row>
    <row r="569" spans="1:11" x14ac:dyDescent="0.35">
      <c r="A569" t="s">
        <v>610</v>
      </c>
      <c r="B569" s="1">
        <v>45500</v>
      </c>
      <c r="C569" t="s">
        <v>43</v>
      </c>
      <c r="D569" t="s">
        <v>13</v>
      </c>
      <c r="E569" t="s">
        <v>14</v>
      </c>
      <c r="F569" t="s">
        <v>20</v>
      </c>
      <c r="G569">
        <v>20</v>
      </c>
      <c r="H569">
        <v>10865</v>
      </c>
      <c r="I569">
        <v>217300</v>
      </c>
      <c r="J569" t="s">
        <v>16</v>
      </c>
      <c r="K569" t="s">
        <v>33</v>
      </c>
    </row>
    <row r="570" spans="1:11" x14ac:dyDescent="0.35">
      <c r="A570" t="s">
        <v>611</v>
      </c>
      <c r="B570" s="1">
        <v>45541</v>
      </c>
      <c r="C570" t="s">
        <v>29</v>
      </c>
      <c r="D570" t="s">
        <v>35</v>
      </c>
      <c r="E570" t="s">
        <v>25</v>
      </c>
      <c r="F570" t="s">
        <v>26</v>
      </c>
      <c r="G570">
        <v>4</v>
      </c>
      <c r="H570">
        <v>20224</v>
      </c>
      <c r="I570">
        <v>80896</v>
      </c>
      <c r="J570" t="s">
        <v>27</v>
      </c>
      <c r="K570" t="s">
        <v>17</v>
      </c>
    </row>
    <row r="571" spans="1:11" x14ac:dyDescent="0.35">
      <c r="A571" t="s">
        <v>612</v>
      </c>
      <c r="B571" s="1">
        <v>45448</v>
      </c>
      <c r="C571" t="s">
        <v>12</v>
      </c>
      <c r="D571" t="s">
        <v>13</v>
      </c>
      <c r="E571" t="s">
        <v>25</v>
      </c>
      <c r="F571" t="s">
        <v>48</v>
      </c>
      <c r="G571">
        <v>17</v>
      </c>
      <c r="H571">
        <v>12212</v>
      </c>
      <c r="I571">
        <v>207604</v>
      </c>
      <c r="J571" t="s">
        <v>16</v>
      </c>
      <c r="K571" t="s">
        <v>22</v>
      </c>
    </row>
    <row r="572" spans="1:11" x14ac:dyDescent="0.35">
      <c r="A572" t="s">
        <v>613</v>
      </c>
      <c r="B572" s="1">
        <v>45597</v>
      </c>
      <c r="C572" t="s">
        <v>12</v>
      </c>
      <c r="D572" t="s">
        <v>19</v>
      </c>
      <c r="E572" t="s">
        <v>25</v>
      </c>
      <c r="F572" t="s">
        <v>58</v>
      </c>
      <c r="G572">
        <v>8</v>
      </c>
      <c r="H572">
        <v>23152</v>
      </c>
      <c r="I572">
        <v>185216</v>
      </c>
      <c r="J572" t="s">
        <v>32</v>
      </c>
      <c r="K572" t="s">
        <v>22</v>
      </c>
    </row>
    <row r="573" spans="1:11" x14ac:dyDescent="0.35">
      <c r="A573" t="s">
        <v>614</v>
      </c>
      <c r="B573" s="1">
        <v>45580</v>
      </c>
      <c r="C573" t="s">
        <v>24</v>
      </c>
      <c r="D573" t="s">
        <v>38</v>
      </c>
      <c r="E573" t="s">
        <v>25</v>
      </c>
      <c r="F573" t="s">
        <v>58</v>
      </c>
      <c r="G573">
        <v>5</v>
      </c>
      <c r="H573">
        <v>23959</v>
      </c>
      <c r="I573">
        <v>119795</v>
      </c>
      <c r="J573" t="s">
        <v>32</v>
      </c>
      <c r="K573" t="s">
        <v>22</v>
      </c>
    </row>
    <row r="574" spans="1:11" x14ac:dyDescent="0.35">
      <c r="A574" t="s">
        <v>615</v>
      </c>
      <c r="B574" s="1">
        <v>45425</v>
      </c>
      <c r="C574" t="s">
        <v>37</v>
      </c>
      <c r="D574" t="s">
        <v>38</v>
      </c>
      <c r="E574" t="s">
        <v>39</v>
      </c>
      <c r="F574" t="s">
        <v>40</v>
      </c>
      <c r="G574">
        <v>8</v>
      </c>
      <c r="H574">
        <v>25595</v>
      </c>
      <c r="I574">
        <v>204760</v>
      </c>
      <c r="J574" t="s">
        <v>16</v>
      </c>
      <c r="K574" t="s">
        <v>17</v>
      </c>
    </row>
    <row r="575" spans="1:11" x14ac:dyDescent="0.35">
      <c r="A575" t="s">
        <v>616</v>
      </c>
      <c r="B575" s="1">
        <v>45609</v>
      </c>
      <c r="C575" t="s">
        <v>24</v>
      </c>
      <c r="D575" t="s">
        <v>38</v>
      </c>
      <c r="E575" t="s">
        <v>14</v>
      </c>
      <c r="F575" t="s">
        <v>20</v>
      </c>
      <c r="G575">
        <v>16</v>
      </c>
      <c r="H575">
        <v>7297</v>
      </c>
      <c r="I575">
        <v>116752</v>
      </c>
      <c r="J575" t="s">
        <v>32</v>
      </c>
      <c r="K575" t="s">
        <v>17</v>
      </c>
    </row>
    <row r="576" spans="1:11" x14ac:dyDescent="0.35">
      <c r="A576" t="s">
        <v>617</v>
      </c>
      <c r="B576" s="1">
        <v>45423</v>
      </c>
      <c r="C576" t="s">
        <v>43</v>
      </c>
      <c r="D576" t="s">
        <v>38</v>
      </c>
      <c r="E576" t="s">
        <v>25</v>
      </c>
      <c r="F576" t="s">
        <v>48</v>
      </c>
      <c r="G576">
        <v>17</v>
      </c>
      <c r="H576">
        <v>3876</v>
      </c>
      <c r="I576">
        <v>65892</v>
      </c>
      <c r="J576" t="s">
        <v>32</v>
      </c>
      <c r="K576" t="s">
        <v>22</v>
      </c>
    </row>
    <row r="577" spans="1:11" x14ac:dyDescent="0.35">
      <c r="A577" t="s">
        <v>618</v>
      </c>
      <c r="B577" s="1">
        <v>45418</v>
      </c>
      <c r="C577" t="s">
        <v>12</v>
      </c>
      <c r="D577" t="s">
        <v>35</v>
      </c>
      <c r="E577" t="s">
        <v>14</v>
      </c>
      <c r="F577" t="s">
        <v>20</v>
      </c>
      <c r="G577">
        <v>9</v>
      </c>
      <c r="H577">
        <v>46704</v>
      </c>
      <c r="I577">
        <v>420336</v>
      </c>
      <c r="J577" t="s">
        <v>27</v>
      </c>
      <c r="K577" t="s">
        <v>33</v>
      </c>
    </row>
    <row r="578" spans="1:11" x14ac:dyDescent="0.35">
      <c r="A578" t="s">
        <v>619</v>
      </c>
      <c r="B578" s="1">
        <v>45297</v>
      </c>
      <c r="C578" t="s">
        <v>43</v>
      </c>
      <c r="D578" t="s">
        <v>38</v>
      </c>
      <c r="E578" t="s">
        <v>30</v>
      </c>
      <c r="F578" t="s">
        <v>31</v>
      </c>
      <c r="G578">
        <v>9</v>
      </c>
      <c r="H578">
        <v>45304</v>
      </c>
      <c r="I578">
        <v>407736</v>
      </c>
      <c r="J578" t="s">
        <v>21</v>
      </c>
      <c r="K578" t="s">
        <v>17</v>
      </c>
    </row>
    <row r="579" spans="1:11" x14ac:dyDescent="0.35">
      <c r="A579" t="s">
        <v>620</v>
      </c>
      <c r="B579" s="1">
        <v>45600</v>
      </c>
      <c r="C579" t="s">
        <v>29</v>
      </c>
      <c r="D579" t="s">
        <v>19</v>
      </c>
      <c r="E579" t="s">
        <v>30</v>
      </c>
      <c r="F579" t="s">
        <v>81</v>
      </c>
      <c r="G579">
        <v>19</v>
      </c>
      <c r="H579">
        <v>8067</v>
      </c>
      <c r="I579">
        <v>153273</v>
      </c>
      <c r="J579" t="s">
        <v>16</v>
      </c>
      <c r="K579" t="s">
        <v>22</v>
      </c>
    </row>
    <row r="580" spans="1:11" x14ac:dyDescent="0.35">
      <c r="A580" t="s">
        <v>621</v>
      </c>
      <c r="B580" s="1">
        <v>45653</v>
      </c>
      <c r="C580" t="s">
        <v>37</v>
      </c>
      <c r="D580" t="s">
        <v>13</v>
      </c>
      <c r="E580" t="s">
        <v>25</v>
      </c>
      <c r="F580" t="s">
        <v>58</v>
      </c>
      <c r="G580">
        <v>10</v>
      </c>
      <c r="H580">
        <v>11188</v>
      </c>
      <c r="I580">
        <v>111880</v>
      </c>
      <c r="J580" t="s">
        <v>16</v>
      </c>
      <c r="K580" t="s">
        <v>33</v>
      </c>
    </row>
    <row r="581" spans="1:11" x14ac:dyDescent="0.35">
      <c r="A581" t="s">
        <v>622</v>
      </c>
      <c r="B581" s="1">
        <v>45300</v>
      </c>
      <c r="C581" t="s">
        <v>12</v>
      </c>
      <c r="D581" t="s">
        <v>19</v>
      </c>
      <c r="E581" t="s">
        <v>14</v>
      </c>
      <c r="F581" t="s">
        <v>15</v>
      </c>
      <c r="G581">
        <v>18</v>
      </c>
      <c r="H581">
        <v>9665</v>
      </c>
      <c r="I581">
        <v>173970</v>
      </c>
      <c r="J581" t="s">
        <v>16</v>
      </c>
      <c r="K581" t="s">
        <v>33</v>
      </c>
    </row>
    <row r="582" spans="1:11" x14ac:dyDescent="0.35">
      <c r="A582" t="s">
        <v>623</v>
      </c>
      <c r="B582" s="1">
        <v>45391</v>
      </c>
      <c r="C582" t="s">
        <v>43</v>
      </c>
      <c r="D582" t="s">
        <v>38</v>
      </c>
      <c r="E582" t="s">
        <v>14</v>
      </c>
      <c r="F582" t="s">
        <v>62</v>
      </c>
      <c r="G582">
        <v>3</v>
      </c>
      <c r="H582">
        <v>5940</v>
      </c>
      <c r="I582">
        <v>17820</v>
      </c>
      <c r="J582" t="s">
        <v>21</v>
      </c>
      <c r="K582" t="s">
        <v>17</v>
      </c>
    </row>
    <row r="583" spans="1:11" x14ac:dyDescent="0.35">
      <c r="A583" t="s">
        <v>624</v>
      </c>
      <c r="B583" s="1">
        <v>45625</v>
      </c>
      <c r="C583" t="s">
        <v>24</v>
      </c>
      <c r="D583" t="s">
        <v>38</v>
      </c>
      <c r="E583" t="s">
        <v>39</v>
      </c>
      <c r="F583" t="s">
        <v>40</v>
      </c>
      <c r="G583">
        <v>14</v>
      </c>
      <c r="H583">
        <v>553</v>
      </c>
      <c r="I583">
        <v>7742</v>
      </c>
      <c r="J583" t="s">
        <v>21</v>
      </c>
      <c r="K583" t="s">
        <v>22</v>
      </c>
    </row>
    <row r="584" spans="1:11" x14ac:dyDescent="0.35">
      <c r="A584" t="s">
        <v>625</v>
      </c>
      <c r="B584" s="1">
        <v>45450</v>
      </c>
      <c r="C584" t="s">
        <v>29</v>
      </c>
      <c r="D584" t="s">
        <v>13</v>
      </c>
      <c r="E584" t="s">
        <v>30</v>
      </c>
      <c r="F584" t="s">
        <v>81</v>
      </c>
      <c r="G584">
        <v>8</v>
      </c>
      <c r="H584">
        <v>15679</v>
      </c>
      <c r="I584">
        <v>125432</v>
      </c>
      <c r="J584" t="s">
        <v>21</v>
      </c>
      <c r="K584" t="s">
        <v>22</v>
      </c>
    </row>
    <row r="585" spans="1:11" x14ac:dyDescent="0.35">
      <c r="A585" t="s">
        <v>626</v>
      </c>
      <c r="B585" s="1">
        <v>45357</v>
      </c>
      <c r="C585" t="s">
        <v>43</v>
      </c>
      <c r="D585" t="s">
        <v>13</v>
      </c>
      <c r="E585" t="s">
        <v>39</v>
      </c>
      <c r="F585" t="s">
        <v>65</v>
      </c>
      <c r="G585">
        <v>2</v>
      </c>
      <c r="H585">
        <v>26901</v>
      </c>
      <c r="I585">
        <v>53802</v>
      </c>
      <c r="J585" t="s">
        <v>16</v>
      </c>
      <c r="K585" t="s">
        <v>17</v>
      </c>
    </row>
    <row r="586" spans="1:11" x14ac:dyDescent="0.35">
      <c r="A586" t="s">
        <v>627</v>
      </c>
      <c r="B586" s="1">
        <v>45370</v>
      </c>
      <c r="C586" t="s">
        <v>43</v>
      </c>
      <c r="D586" t="s">
        <v>13</v>
      </c>
      <c r="E586" t="s">
        <v>25</v>
      </c>
      <c r="F586" t="s">
        <v>58</v>
      </c>
      <c r="G586">
        <v>11</v>
      </c>
      <c r="H586">
        <v>47869</v>
      </c>
      <c r="I586">
        <v>526559</v>
      </c>
      <c r="J586" t="s">
        <v>16</v>
      </c>
      <c r="K586" t="s">
        <v>17</v>
      </c>
    </row>
    <row r="587" spans="1:11" x14ac:dyDescent="0.35">
      <c r="A587" t="s">
        <v>628</v>
      </c>
      <c r="B587" s="1">
        <v>45450</v>
      </c>
      <c r="C587" t="s">
        <v>24</v>
      </c>
      <c r="D587" t="s">
        <v>35</v>
      </c>
      <c r="E587" t="s">
        <v>25</v>
      </c>
      <c r="F587" t="s">
        <v>58</v>
      </c>
      <c r="G587">
        <v>6</v>
      </c>
      <c r="H587">
        <v>42472</v>
      </c>
      <c r="I587">
        <v>254832</v>
      </c>
      <c r="J587" t="s">
        <v>32</v>
      </c>
      <c r="K587" t="s">
        <v>22</v>
      </c>
    </row>
    <row r="588" spans="1:11" x14ac:dyDescent="0.35">
      <c r="A588" t="s">
        <v>629</v>
      </c>
      <c r="B588" s="1">
        <v>45379</v>
      </c>
      <c r="C588" t="s">
        <v>29</v>
      </c>
      <c r="D588" t="s">
        <v>19</v>
      </c>
      <c r="E588" t="s">
        <v>30</v>
      </c>
      <c r="F588" t="s">
        <v>81</v>
      </c>
      <c r="G588">
        <v>15</v>
      </c>
      <c r="H588">
        <v>39767</v>
      </c>
      <c r="I588">
        <v>596505</v>
      </c>
      <c r="J588" t="s">
        <v>32</v>
      </c>
      <c r="K588" t="s">
        <v>17</v>
      </c>
    </row>
    <row r="589" spans="1:11" x14ac:dyDescent="0.35">
      <c r="A589" t="s">
        <v>630</v>
      </c>
      <c r="B589" s="1">
        <v>45433</v>
      </c>
      <c r="C589" t="s">
        <v>29</v>
      </c>
      <c r="D589" t="s">
        <v>38</v>
      </c>
      <c r="E589" t="s">
        <v>30</v>
      </c>
      <c r="F589" t="s">
        <v>44</v>
      </c>
      <c r="G589">
        <v>12</v>
      </c>
      <c r="H589">
        <v>40911</v>
      </c>
      <c r="I589">
        <v>490932</v>
      </c>
      <c r="J589" t="s">
        <v>16</v>
      </c>
      <c r="K589" t="s">
        <v>22</v>
      </c>
    </row>
    <row r="590" spans="1:11" x14ac:dyDescent="0.35">
      <c r="A590" t="s">
        <v>631</v>
      </c>
      <c r="B590" s="1">
        <v>45464</v>
      </c>
      <c r="C590" t="s">
        <v>29</v>
      </c>
      <c r="D590" t="s">
        <v>13</v>
      </c>
      <c r="E590" t="s">
        <v>39</v>
      </c>
      <c r="F590" t="s">
        <v>55</v>
      </c>
      <c r="G590">
        <v>9</v>
      </c>
      <c r="H590">
        <v>22932</v>
      </c>
      <c r="I590">
        <v>206388</v>
      </c>
      <c r="J590" t="s">
        <v>27</v>
      </c>
      <c r="K590" t="s">
        <v>33</v>
      </c>
    </row>
    <row r="591" spans="1:11" x14ac:dyDescent="0.35">
      <c r="A591" t="s">
        <v>632</v>
      </c>
      <c r="B591" s="1">
        <v>45530</v>
      </c>
      <c r="C591" t="s">
        <v>12</v>
      </c>
      <c r="D591" t="s">
        <v>13</v>
      </c>
      <c r="E591" t="s">
        <v>30</v>
      </c>
      <c r="F591" t="s">
        <v>31</v>
      </c>
      <c r="G591">
        <v>18</v>
      </c>
      <c r="H591">
        <v>4929</v>
      </c>
      <c r="I591">
        <v>88722</v>
      </c>
      <c r="J591" t="s">
        <v>16</v>
      </c>
      <c r="K591" t="s">
        <v>33</v>
      </c>
    </row>
    <row r="592" spans="1:11" x14ac:dyDescent="0.35">
      <c r="A592" t="s">
        <v>633</v>
      </c>
      <c r="B592" s="1">
        <v>45520</v>
      </c>
      <c r="C592" t="s">
        <v>12</v>
      </c>
      <c r="D592" t="s">
        <v>38</v>
      </c>
      <c r="E592" t="s">
        <v>14</v>
      </c>
      <c r="F592" t="s">
        <v>20</v>
      </c>
      <c r="G592">
        <v>7</v>
      </c>
      <c r="H592">
        <v>49261</v>
      </c>
      <c r="I592">
        <v>344827</v>
      </c>
      <c r="J592" t="s">
        <v>27</v>
      </c>
      <c r="K592" t="s">
        <v>22</v>
      </c>
    </row>
    <row r="593" spans="1:11" x14ac:dyDescent="0.35">
      <c r="A593" t="s">
        <v>634</v>
      </c>
      <c r="B593" s="1">
        <v>45512</v>
      </c>
      <c r="C593" t="s">
        <v>37</v>
      </c>
      <c r="D593" t="s">
        <v>13</v>
      </c>
      <c r="E593" t="s">
        <v>39</v>
      </c>
      <c r="F593" t="s">
        <v>40</v>
      </c>
      <c r="G593">
        <v>5</v>
      </c>
      <c r="H593">
        <v>29870</v>
      </c>
      <c r="I593">
        <v>149350</v>
      </c>
      <c r="J593" t="s">
        <v>32</v>
      </c>
      <c r="K593" t="s">
        <v>17</v>
      </c>
    </row>
    <row r="594" spans="1:11" x14ac:dyDescent="0.35">
      <c r="A594" t="s">
        <v>635</v>
      </c>
      <c r="B594" s="1">
        <v>45459</v>
      </c>
      <c r="C594" t="s">
        <v>12</v>
      </c>
      <c r="D594" t="s">
        <v>35</v>
      </c>
      <c r="E594" t="s">
        <v>39</v>
      </c>
      <c r="F594" t="s">
        <v>40</v>
      </c>
      <c r="G594">
        <v>1</v>
      </c>
      <c r="H594">
        <v>24929</v>
      </c>
      <c r="I594">
        <v>24929</v>
      </c>
      <c r="J594" t="s">
        <v>27</v>
      </c>
      <c r="K594" t="s">
        <v>17</v>
      </c>
    </row>
    <row r="595" spans="1:11" x14ac:dyDescent="0.35">
      <c r="A595" t="s">
        <v>636</v>
      </c>
      <c r="B595" s="1">
        <v>45412</v>
      </c>
      <c r="C595" t="s">
        <v>43</v>
      </c>
      <c r="D595" t="s">
        <v>19</v>
      </c>
      <c r="E595" t="s">
        <v>25</v>
      </c>
      <c r="F595" t="s">
        <v>26</v>
      </c>
      <c r="G595">
        <v>19</v>
      </c>
      <c r="H595">
        <v>19309</v>
      </c>
      <c r="I595">
        <v>366871</v>
      </c>
      <c r="J595" t="s">
        <v>16</v>
      </c>
      <c r="K595" t="s">
        <v>33</v>
      </c>
    </row>
    <row r="596" spans="1:11" x14ac:dyDescent="0.35">
      <c r="A596" t="s">
        <v>637</v>
      </c>
      <c r="B596" s="1">
        <v>45337</v>
      </c>
      <c r="C596" t="s">
        <v>24</v>
      </c>
      <c r="D596" t="s">
        <v>35</v>
      </c>
      <c r="E596" t="s">
        <v>14</v>
      </c>
      <c r="F596" t="s">
        <v>62</v>
      </c>
      <c r="G596">
        <v>10</v>
      </c>
      <c r="H596">
        <v>31321</v>
      </c>
      <c r="I596">
        <v>313210</v>
      </c>
      <c r="J596" t="s">
        <v>32</v>
      </c>
      <c r="K596" t="s">
        <v>17</v>
      </c>
    </row>
    <row r="597" spans="1:11" x14ac:dyDescent="0.35">
      <c r="A597" t="s">
        <v>638</v>
      </c>
      <c r="B597" s="1">
        <v>45411</v>
      </c>
      <c r="C597" t="s">
        <v>29</v>
      </c>
      <c r="D597" t="s">
        <v>13</v>
      </c>
      <c r="E597" t="s">
        <v>39</v>
      </c>
      <c r="F597" t="s">
        <v>40</v>
      </c>
      <c r="G597">
        <v>3</v>
      </c>
      <c r="H597">
        <v>34466</v>
      </c>
      <c r="I597">
        <v>103398</v>
      </c>
      <c r="J597" t="s">
        <v>27</v>
      </c>
      <c r="K597" t="s">
        <v>22</v>
      </c>
    </row>
    <row r="598" spans="1:11" x14ac:dyDescent="0.35">
      <c r="A598" t="s">
        <v>639</v>
      </c>
      <c r="B598" s="1">
        <v>45372</v>
      </c>
      <c r="C598" t="s">
        <v>37</v>
      </c>
      <c r="D598" t="s">
        <v>19</v>
      </c>
      <c r="E598" t="s">
        <v>30</v>
      </c>
      <c r="F598" t="s">
        <v>81</v>
      </c>
      <c r="G598">
        <v>3</v>
      </c>
      <c r="H598">
        <v>44567</v>
      </c>
      <c r="I598">
        <v>133701</v>
      </c>
      <c r="J598" t="s">
        <v>27</v>
      </c>
      <c r="K598" t="s">
        <v>22</v>
      </c>
    </row>
    <row r="599" spans="1:11" x14ac:dyDescent="0.35">
      <c r="A599" t="s">
        <v>640</v>
      </c>
      <c r="B599" s="1">
        <v>45431</v>
      </c>
      <c r="C599" t="s">
        <v>29</v>
      </c>
      <c r="D599" t="s">
        <v>38</v>
      </c>
      <c r="E599" t="s">
        <v>39</v>
      </c>
      <c r="F599" t="s">
        <v>40</v>
      </c>
      <c r="G599">
        <v>17</v>
      </c>
      <c r="H599">
        <v>43081</v>
      </c>
      <c r="I599">
        <v>732377</v>
      </c>
      <c r="J599" t="s">
        <v>16</v>
      </c>
      <c r="K599" t="s">
        <v>17</v>
      </c>
    </row>
    <row r="600" spans="1:11" x14ac:dyDescent="0.35">
      <c r="A600" t="s">
        <v>641</v>
      </c>
      <c r="B600" s="1">
        <v>45445</v>
      </c>
      <c r="C600" t="s">
        <v>24</v>
      </c>
      <c r="D600" t="s">
        <v>38</v>
      </c>
      <c r="E600" t="s">
        <v>39</v>
      </c>
      <c r="F600" t="s">
        <v>55</v>
      </c>
      <c r="G600">
        <v>13</v>
      </c>
      <c r="H600">
        <v>43067</v>
      </c>
      <c r="I600">
        <v>559871</v>
      </c>
      <c r="J600" t="s">
        <v>27</v>
      </c>
      <c r="K600" t="s">
        <v>17</v>
      </c>
    </row>
    <row r="601" spans="1:11" x14ac:dyDescent="0.35">
      <c r="A601" t="s">
        <v>642</v>
      </c>
      <c r="B601" s="1">
        <v>45458</v>
      </c>
      <c r="C601" t="s">
        <v>24</v>
      </c>
      <c r="D601" t="s">
        <v>13</v>
      </c>
      <c r="E601" t="s">
        <v>14</v>
      </c>
      <c r="F601" t="s">
        <v>15</v>
      </c>
      <c r="G601">
        <v>20</v>
      </c>
      <c r="H601">
        <v>24015</v>
      </c>
      <c r="I601">
        <v>480300</v>
      </c>
      <c r="J601" t="s">
        <v>27</v>
      </c>
      <c r="K601" t="s">
        <v>22</v>
      </c>
    </row>
    <row r="602" spans="1:11" x14ac:dyDescent="0.35">
      <c r="A602" t="s">
        <v>643</v>
      </c>
      <c r="B602" s="1">
        <v>45336</v>
      </c>
      <c r="C602" t="s">
        <v>43</v>
      </c>
      <c r="D602" t="s">
        <v>35</v>
      </c>
      <c r="E602" t="s">
        <v>39</v>
      </c>
      <c r="F602" t="s">
        <v>40</v>
      </c>
      <c r="G602">
        <v>5</v>
      </c>
      <c r="H602">
        <v>31076</v>
      </c>
      <c r="I602">
        <v>155380</v>
      </c>
      <c r="J602" t="s">
        <v>21</v>
      </c>
      <c r="K602" t="s">
        <v>33</v>
      </c>
    </row>
    <row r="603" spans="1:11" x14ac:dyDescent="0.35">
      <c r="A603" t="s">
        <v>644</v>
      </c>
      <c r="B603" s="1">
        <v>45355</v>
      </c>
      <c r="C603" t="s">
        <v>29</v>
      </c>
      <c r="D603" t="s">
        <v>19</v>
      </c>
      <c r="E603" t="s">
        <v>39</v>
      </c>
      <c r="F603" t="s">
        <v>55</v>
      </c>
      <c r="G603">
        <v>10</v>
      </c>
      <c r="H603">
        <v>39779</v>
      </c>
      <c r="I603">
        <v>397790</v>
      </c>
      <c r="J603" t="s">
        <v>21</v>
      </c>
      <c r="K603" t="s">
        <v>17</v>
      </c>
    </row>
    <row r="604" spans="1:11" x14ac:dyDescent="0.35">
      <c r="A604" t="s">
        <v>645</v>
      </c>
      <c r="B604" s="1">
        <v>45298</v>
      </c>
      <c r="C604" t="s">
        <v>12</v>
      </c>
      <c r="D604" t="s">
        <v>38</v>
      </c>
      <c r="E604" t="s">
        <v>14</v>
      </c>
      <c r="F604" t="s">
        <v>62</v>
      </c>
      <c r="G604">
        <v>20</v>
      </c>
      <c r="H604">
        <v>15165</v>
      </c>
      <c r="I604">
        <v>303300</v>
      </c>
      <c r="J604" t="s">
        <v>27</v>
      </c>
      <c r="K604" t="s">
        <v>33</v>
      </c>
    </row>
    <row r="605" spans="1:11" x14ac:dyDescent="0.35">
      <c r="A605" t="s">
        <v>646</v>
      </c>
      <c r="B605" s="1">
        <v>45415</v>
      </c>
      <c r="C605" t="s">
        <v>12</v>
      </c>
      <c r="D605" t="s">
        <v>35</v>
      </c>
      <c r="E605" t="s">
        <v>39</v>
      </c>
      <c r="F605" t="s">
        <v>40</v>
      </c>
      <c r="G605">
        <v>20</v>
      </c>
      <c r="H605">
        <v>9107</v>
      </c>
      <c r="I605">
        <v>182140</v>
      </c>
      <c r="J605" t="s">
        <v>27</v>
      </c>
      <c r="K605" t="s">
        <v>17</v>
      </c>
    </row>
    <row r="606" spans="1:11" x14ac:dyDescent="0.35">
      <c r="A606" t="s">
        <v>647</v>
      </c>
      <c r="B606" s="1">
        <v>45628</v>
      </c>
      <c r="C606" t="s">
        <v>37</v>
      </c>
      <c r="D606" t="s">
        <v>13</v>
      </c>
      <c r="E606" t="s">
        <v>14</v>
      </c>
      <c r="F606" t="s">
        <v>62</v>
      </c>
      <c r="G606">
        <v>3</v>
      </c>
      <c r="H606">
        <v>19155</v>
      </c>
      <c r="I606">
        <v>57465</v>
      </c>
      <c r="J606" t="s">
        <v>21</v>
      </c>
      <c r="K606" t="s">
        <v>33</v>
      </c>
    </row>
    <row r="607" spans="1:11" x14ac:dyDescent="0.35">
      <c r="A607" t="s">
        <v>648</v>
      </c>
      <c r="B607" s="1">
        <v>45374</v>
      </c>
      <c r="C607" t="s">
        <v>24</v>
      </c>
      <c r="D607" t="s">
        <v>13</v>
      </c>
      <c r="E607" t="s">
        <v>14</v>
      </c>
      <c r="F607" t="s">
        <v>20</v>
      </c>
      <c r="G607">
        <v>2</v>
      </c>
      <c r="H607">
        <v>7741</v>
      </c>
      <c r="I607">
        <v>15482</v>
      </c>
      <c r="J607" t="s">
        <v>16</v>
      </c>
      <c r="K607" t="s">
        <v>17</v>
      </c>
    </row>
    <row r="608" spans="1:11" x14ac:dyDescent="0.35">
      <c r="A608" t="s">
        <v>649</v>
      </c>
      <c r="B608" s="1">
        <v>45559</v>
      </c>
      <c r="C608" t="s">
        <v>24</v>
      </c>
      <c r="D608" t="s">
        <v>38</v>
      </c>
      <c r="E608" t="s">
        <v>39</v>
      </c>
      <c r="F608" t="s">
        <v>65</v>
      </c>
      <c r="G608">
        <v>20</v>
      </c>
      <c r="H608">
        <v>21053</v>
      </c>
      <c r="I608">
        <v>421060</v>
      </c>
      <c r="J608" t="s">
        <v>16</v>
      </c>
      <c r="K608" t="s">
        <v>22</v>
      </c>
    </row>
    <row r="609" spans="1:11" x14ac:dyDescent="0.35">
      <c r="A609" t="s">
        <v>650</v>
      </c>
      <c r="B609" s="1">
        <v>45645</v>
      </c>
      <c r="C609" t="s">
        <v>43</v>
      </c>
      <c r="D609" t="s">
        <v>35</v>
      </c>
      <c r="E609" t="s">
        <v>39</v>
      </c>
      <c r="F609" t="s">
        <v>55</v>
      </c>
      <c r="G609">
        <v>9</v>
      </c>
      <c r="H609">
        <v>16963</v>
      </c>
      <c r="I609">
        <v>152667</v>
      </c>
      <c r="J609" t="s">
        <v>32</v>
      </c>
      <c r="K609" t="s">
        <v>17</v>
      </c>
    </row>
    <row r="610" spans="1:11" x14ac:dyDescent="0.35">
      <c r="A610" t="s">
        <v>651</v>
      </c>
      <c r="B610" s="1">
        <v>45618</v>
      </c>
      <c r="C610" t="s">
        <v>43</v>
      </c>
      <c r="D610" t="s">
        <v>19</v>
      </c>
      <c r="E610" t="s">
        <v>30</v>
      </c>
      <c r="F610" t="s">
        <v>44</v>
      </c>
      <c r="G610">
        <v>6</v>
      </c>
      <c r="H610">
        <v>36277</v>
      </c>
      <c r="I610">
        <v>217662</v>
      </c>
      <c r="J610" t="s">
        <v>21</v>
      </c>
      <c r="K610" t="s">
        <v>17</v>
      </c>
    </row>
    <row r="611" spans="1:11" x14ac:dyDescent="0.35">
      <c r="A611" t="s">
        <v>652</v>
      </c>
      <c r="B611" s="1">
        <v>45517</v>
      </c>
      <c r="C611" t="s">
        <v>29</v>
      </c>
      <c r="D611" t="s">
        <v>13</v>
      </c>
      <c r="E611" t="s">
        <v>25</v>
      </c>
      <c r="F611" t="s">
        <v>26</v>
      </c>
      <c r="G611">
        <v>11</v>
      </c>
      <c r="H611">
        <v>31356</v>
      </c>
      <c r="I611">
        <v>344916</v>
      </c>
      <c r="J611" t="s">
        <v>27</v>
      </c>
      <c r="K611" t="s">
        <v>22</v>
      </c>
    </row>
    <row r="612" spans="1:11" x14ac:dyDescent="0.35">
      <c r="A612" t="s">
        <v>653</v>
      </c>
      <c r="B612" s="1">
        <v>45395</v>
      </c>
      <c r="C612" t="s">
        <v>24</v>
      </c>
      <c r="D612" t="s">
        <v>19</v>
      </c>
      <c r="E612" t="s">
        <v>39</v>
      </c>
      <c r="F612" t="s">
        <v>40</v>
      </c>
      <c r="G612">
        <v>2</v>
      </c>
      <c r="H612">
        <v>10625</v>
      </c>
      <c r="I612">
        <v>21250</v>
      </c>
      <c r="J612" t="s">
        <v>16</v>
      </c>
      <c r="K612" t="s">
        <v>22</v>
      </c>
    </row>
    <row r="613" spans="1:11" x14ac:dyDescent="0.35">
      <c r="A613" t="s">
        <v>654</v>
      </c>
      <c r="B613" s="1">
        <v>45555</v>
      </c>
      <c r="C613" t="s">
        <v>12</v>
      </c>
      <c r="D613" t="s">
        <v>13</v>
      </c>
      <c r="E613" t="s">
        <v>39</v>
      </c>
      <c r="F613" t="s">
        <v>65</v>
      </c>
      <c r="G613">
        <v>9</v>
      </c>
      <c r="H613">
        <v>33676</v>
      </c>
      <c r="I613">
        <v>303084</v>
      </c>
      <c r="J613" t="s">
        <v>21</v>
      </c>
      <c r="K613" t="s">
        <v>17</v>
      </c>
    </row>
    <row r="614" spans="1:11" x14ac:dyDescent="0.35">
      <c r="A614" t="s">
        <v>655</v>
      </c>
      <c r="B614" s="1">
        <v>45363</v>
      </c>
      <c r="C614" t="s">
        <v>24</v>
      </c>
      <c r="D614" t="s">
        <v>13</v>
      </c>
      <c r="E614" t="s">
        <v>25</v>
      </c>
      <c r="F614" t="s">
        <v>48</v>
      </c>
      <c r="G614">
        <v>3</v>
      </c>
      <c r="H614">
        <v>24291</v>
      </c>
      <c r="I614">
        <v>72873</v>
      </c>
      <c r="J614" t="s">
        <v>32</v>
      </c>
      <c r="K614" t="s">
        <v>17</v>
      </c>
    </row>
    <row r="615" spans="1:11" x14ac:dyDescent="0.35">
      <c r="A615" t="s">
        <v>656</v>
      </c>
      <c r="B615" s="1">
        <v>45649</v>
      </c>
      <c r="C615" t="s">
        <v>24</v>
      </c>
      <c r="D615" t="s">
        <v>38</v>
      </c>
      <c r="E615" t="s">
        <v>39</v>
      </c>
      <c r="F615" t="s">
        <v>55</v>
      </c>
      <c r="G615">
        <v>20</v>
      </c>
      <c r="H615">
        <v>16951</v>
      </c>
      <c r="I615">
        <v>339020</v>
      </c>
      <c r="J615" t="s">
        <v>16</v>
      </c>
      <c r="K615" t="s">
        <v>22</v>
      </c>
    </row>
    <row r="616" spans="1:11" x14ac:dyDescent="0.35">
      <c r="A616" t="s">
        <v>657</v>
      </c>
      <c r="B616" s="1">
        <v>45477</v>
      </c>
      <c r="C616" t="s">
        <v>37</v>
      </c>
      <c r="D616" t="s">
        <v>35</v>
      </c>
      <c r="E616" t="s">
        <v>30</v>
      </c>
      <c r="F616" t="s">
        <v>81</v>
      </c>
      <c r="G616">
        <v>6</v>
      </c>
      <c r="H616">
        <v>17913</v>
      </c>
      <c r="I616">
        <v>107478</v>
      </c>
      <c r="J616" t="s">
        <v>32</v>
      </c>
      <c r="K616" t="s">
        <v>33</v>
      </c>
    </row>
    <row r="617" spans="1:11" x14ac:dyDescent="0.35">
      <c r="A617" t="s">
        <v>658</v>
      </c>
      <c r="B617" s="1">
        <v>45375</v>
      </c>
      <c r="C617" t="s">
        <v>24</v>
      </c>
      <c r="D617" t="s">
        <v>13</v>
      </c>
      <c r="E617" t="s">
        <v>14</v>
      </c>
      <c r="F617" t="s">
        <v>62</v>
      </c>
      <c r="G617">
        <v>17</v>
      </c>
      <c r="H617">
        <v>16264</v>
      </c>
      <c r="I617">
        <v>276488</v>
      </c>
      <c r="J617" t="s">
        <v>32</v>
      </c>
      <c r="K617" t="s">
        <v>33</v>
      </c>
    </row>
    <row r="618" spans="1:11" x14ac:dyDescent="0.35">
      <c r="A618" t="s">
        <v>659</v>
      </c>
      <c r="B618" s="1">
        <v>45551</v>
      </c>
      <c r="C618" t="s">
        <v>29</v>
      </c>
      <c r="D618" t="s">
        <v>35</v>
      </c>
      <c r="E618" t="s">
        <v>39</v>
      </c>
      <c r="F618" t="s">
        <v>55</v>
      </c>
      <c r="G618">
        <v>4</v>
      </c>
      <c r="H618">
        <v>3438</v>
      </c>
      <c r="I618">
        <v>13752</v>
      </c>
      <c r="J618" t="s">
        <v>27</v>
      </c>
      <c r="K618" t="s">
        <v>33</v>
      </c>
    </row>
    <row r="619" spans="1:11" x14ac:dyDescent="0.35">
      <c r="A619" t="s">
        <v>660</v>
      </c>
      <c r="B619" s="1">
        <v>45340</v>
      </c>
      <c r="C619" t="s">
        <v>37</v>
      </c>
      <c r="D619" t="s">
        <v>19</v>
      </c>
      <c r="E619" t="s">
        <v>14</v>
      </c>
      <c r="F619" t="s">
        <v>15</v>
      </c>
      <c r="G619">
        <v>10</v>
      </c>
      <c r="H619">
        <v>25398</v>
      </c>
      <c r="I619">
        <v>253980</v>
      </c>
      <c r="J619" t="s">
        <v>21</v>
      </c>
      <c r="K619" t="s">
        <v>22</v>
      </c>
    </row>
    <row r="620" spans="1:11" x14ac:dyDescent="0.35">
      <c r="A620" t="s">
        <v>661</v>
      </c>
      <c r="B620" s="1">
        <v>45526</v>
      </c>
      <c r="C620" t="s">
        <v>24</v>
      </c>
      <c r="D620" t="s">
        <v>38</v>
      </c>
      <c r="E620" t="s">
        <v>25</v>
      </c>
      <c r="F620" t="s">
        <v>58</v>
      </c>
      <c r="G620">
        <v>14</v>
      </c>
      <c r="H620">
        <v>6732</v>
      </c>
      <c r="I620">
        <v>94248</v>
      </c>
      <c r="J620" t="s">
        <v>16</v>
      </c>
      <c r="K620" t="s">
        <v>22</v>
      </c>
    </row>
    <row r="621" spans="1:11" x14ac:dyDescent="0.35">
      <c r="A621" t="s">
        <v>662</v>
      </c>
      <c r="B621" s="1">
        <v>45423</v>
      </c>
      <c r="C621" t="s">
        <v>24</v>
      </c>
      <c r="D621" t="s">
        <v>19</v>
      </c>
      <c r="E621" t="s">
        <v>25</v>
      </c>
      <c r="F621" t="s">
        <v>48</v>
      </c>
      <c r="G621">
        <v>11</v>
      </c>
      <c r="H621">
        <v>10459</v>
      </c>
      <c r="I621">
        <v>115049</v>
      </c>
      <c r="J621" t="s">
        <v>32</v>
      </c>
      <c r="K621" t="s">
        <v>17</v>
      </c>
    </row>
    <row r="622" spans="1:11" x14ac:dyDescent="0.35">
      <c r="A622" t="s">
        <v>663</v>
      </c>
      <c r="B622" s="1">
        <v>45419</v>
      </c>
      <c r="C622" t="s">
        <v>12</v>
      </c>
      <c r="D622" t="s">
        <v>13</v>
      </c>
      <c r="E622" t="s">
        <v>14</v>
      </c>
      <c r="F622" t="s">
        <v>15</v>
      </c>
      <c r="G622">
        <v>19</v>
      </c>
      <c r="H622">
        <v>3046</v>
      </c>
      <c r="I622">
        <v>57874</v>
      </c>
      <c r="J622" t="s">
        <v>21</v>
      </c>
      <c r="K622" t="s">
        <v>17</v>
      </c>
    </row>
    <row r="623" spans="1:11" x14ac:dyDescent="0.35">
      <c r="A623" t="s">
        <v>664</v>
      </c>
      <c r="B623" s="1">
        <v>45476</v>
      </c>
      <c r="C623" t="s">
        <v>43</v>
      </c>
      <c r="D623" t="s">
        <v>38</v>
      </c>
      <c r="E623" t="s">
        <v>39</v>
      </c>
      <c r="F623" t="s">
        <v>65</v>
      </c>
      <c r="G623">
        <v>1</v>
      </c>
      <c r="H623">
        <v>32625</v>
      </c>
      <c r="I623">
        <v>32625</v>
      </c>
      <c r="J623" t="s">
        <v>32</v>
      </c>
      <c r="K623" t="s">
        <v>22</v>
      </c>
    </row>
    <row r="624" spans="1:11" x14ac:dyDescent="0.35">
      <c r="A624" t="s">
        <v>665</v>
      </c>
      <c r="B624" s="1">
        <v>45329</v>
      </c>
      <c r="C624" t="s">
        <v>37</v>
      </c>
      <c r="D624" t="s">
        <v>35</v>
      </c>
      <c r="E624" t="s">
        <v>39</v>
      </c>
      <c r="F624" t="s">
        <v>40</v>
      </c>
      <c r="G624">
        <v>6</v>
      </c>
      <c r="H624">
        <v>13654</v>
      </c>
      <c r="I624">
        <v>81924</v>
      </c>
      <c r="J624" t="s">
        <v>16</v>
      </c>
      <c r="K624" t="s">
        <v>22</v>
      </c>
    </row>
    <row r="625" spans="1:11" x14ac:dyDescent="0.35">
      <c r="A625" t="s">
        <v>666</v>
      </c>
      <c r="B625" s="1">
        <v>45341</v>
      </c>
      <c r="C625" t="s">
        <v>29</v>
      </c>
      <c r="D625" t="s">
        <v>13</v>
      </c>
      <c r="E625" t="s">
        <v>14</v>
      </c>
      <c r="F625" t="s">
        <v>62</v>
      </c>
      <c r="G625">
        <v>14</v>
      </c>
      <c r="H625">
        <v>37061</v>
      </c>
      <c r="I625">
        <v>518854</v>
      </c>
      <c r="J625" t="s">
        <v>16</v>
      </c>
      <c r="K625" t="s">
        <v>17</v>
      </c>
    </row>
    <row r="626" spans="1:11" x14ac:dyDescent="0.35">
      <c r="A626" t="s">
        <v>667</v>
      </c>
      <c r="B626" s="1">
        <v>45652</v>
      </c>
      <c r="C626" t="s">
        <v>12</v>
      </c>
      <c r="D626" t="s">
        <v>38</v>
      </c>
      <c r="E626" t="s">
        <v>14</v>
      </c>
      <c r="F626" t="s">
        <v>20</v>
      </c>
      <c r="G626">
        <v>4</v>
      </c>
      <c r="H626">
        <v>44005</v>
      </c>
      <c r="I626">
        <v>176020</v>
      </c>
      <c r="J626" t="s">
        <v>32</v>
      </c>
      <c r="K626" t="s">
        <v>17</v>
      </c>
    </row>
    <row r="627" spans="1:11" x14ac:dyDescent="0.35">
      <c r="A627" t="s">
        <v>668</v>
      </c>
      <c r="B627" s="1">
        <v>45379</v>
      </c>
      <c r="C627" t="s">
        <v>37</v>
      </c>
      <c r="D627" t="s">
        <v>38</v>
      </c>
      <c r="E627" t="s">
        <v>25</v>
      </c>
      <c r="F627" t="s">
        <v>58</v>
      </c>
      <c r="G627">
        <v>7</v>
      </c>
      <c r="H627">
        <v>42151</v>
      </c>
      <c r="I627">
        <v>295057</v>
      </c>
      <c r="J627" t="s">
        <v>16</v>
      </c>
      <c r="K627" t="s">
        <v>22</v>
      </c>
    </row>
    <row r="628" spans="1:11" x14ac:dyDescent="0.35">
      <c r="A628" t="s">
        <v>669</v>
      </c>
      <c r="B628" s="1">
        <v>45590</v>
      </c>
      <c r="C628" t="s">
        <v>43</v>
      </c>
      <c r="D628" t="s">
        <v>19</v>
      </c>
      <c r="E628" t="s">
        <v>30</v>
      </c>
      <c r="F628" t="s">
        <v>81</v>
      </c>
      <c r="G628">
        <v>7</v>
      </c>
      <c r="H628">
        <v>14548</v>
      </c>
      <c r="I628">
        <v>101836</v>
      </c>
      <c r="J628" t="s">
        <v>27</v>
      </c>
      <c r="K628" t="s">
        <v>22</v>
      </c>
    </row>
    <row r="629" spans="1:11" x14ac:dyDescent="0.35">
      <c r="A629" t="s">
        <v>670</v>
      </c>
      <c r="B629" s="1">
        <v>45470</v>
      </c>
      <c r="C629" t="s">
        <v>12</v>
      </c>
      <c r="D629" t="s">
        <v>13</v>
      </c>
      <c r="E629" t="s">
        <v>39</v>
      </c>
      <c r="F629" t="s">
        <v>40</v>
      </c>
      <c r="G629">
        <v>14</v>
      </c>
      <c r="H629">
        <v>31636</v>
      </c>
      <c r="I629">
        <v>442904</v>
      </c>
      <c r="J629" t="s">
        <v>21</v>
      </c>
      <c r="K629" t="s">
        <v>22</v>
      </c>
    </row>
    <row r="630" spans="1:11" x14ac:dyDescent="0.35">
      <c r="A630" t="s">
        <v>671</v>
      </c>
      <c r="B630" s="1">
        <v>45624</v>
      </c>
      <c r="C630" t="s">
        <v>29</v>
      </c>
      <c r="D630" t="s">
        <v>35</v>
      </c>
      <c r="E630" t="s">
        <v>14</v>
      </c>
      <c r="F630" t="s">
        <v>20</v>
      </c>
      <c r="G630">
        <v>8</v>
      </c>
      <c r="H630">
        <v>37257</v>
      </c>
      <c r="I630">
        <v>298056</v>
      </c>
      <c r="J630" t="s">
        <v>16</v>
      </c>
      <c r="K630" t="s">
        <v>22</v>
      </c>
    </row>
    <row r="631" spans="1:11" x14ac:dyDescent="0.35">
      <c r="A631" t="s">
        <v>672</v>
      </c>
      <c r="B631" s="1">
        <v>45597</v>
      </c>
      <c r="C631" t="s">
        <v>37</v>
      </c>
      <c r="D631" t="s">
        <v>13</v>
      </c>
      <c r="E631" t="s">
        <v>39</v>
      </c>
      <c r="F631" t="s">
        <v>40</v>
      </c>
      <c r="G631">
        <v>13</v>
      </c>
      <c r="H631">
        <v>5185</v>
      </c>
      <c r="I631">
        <v>67405</v>
      </c>
      <c r="J631" t="s">
        <v>21</v>
      </c>
      <c r="K631" t="s">
        <v>33</v>
      </c>
    </row>
    <row r="632" spans="1:11" x14ac:dyDescent="0.35">
      <c r="A632" t="s">
        <v>673</v>
      </c>
      <c r="B632" s="1">
        <v>45550</v>
      </c>
      <c r="C632" t="s">
        <v>37</v>
      </c>
      <c r="D632" t="s">
        <v>19</v>
      </c>
      <c r="E632" t="s">
        <v>14</v>
      </c>
      <c r="F632" t="s">
        <v>62</v>
      </c>
      <c r="G632">
        <v>2</v>
      </c>
      <c r="H632">
        <v>16301</v>
      </c>
      <c r="I632">
        <v>32602</v>
      </c>
      <c r="J632" t="s">
        <v>16</v>
      </c>
      <c r="K632" t="s">
        <v>33</v>
      </c>
    </row>
    <row r="633" spans="1:11" x14ac:dyDescent="0.35">
      <c r="A633" t="s">
        <v>674</v>
      </c>
      <c r="B633" s="1">
        <v>45570</v>
      </c>
      <c r="C633" t="s">
        <v>12</v>
      </c>
      <c r="D633" t="s">
        <v>38</v>
      </c>
      <c r="E633" t="s">
        <v>30</v>
      </c>
      <c r="F633" t="s">
        <v>31</v>
      </c>
      <c r="G633">
        <v>10</v>
      </c>
      <c r="H633">
        <v>7145</v>
      </c>
      <c r="I633">
        <v>71450</v>
      </c>
      <c r="J633" t="s">
        <v>16</v>
      </c>
      <c r="K633" t="s">
        <v>33</v>
      </c>
    </row>
    <row r="634" spans="1:11" x14ac:dyDescent="0.35">
      <c r="A634" t="s">
        <v>675</v>
      </c>
      <c r="B634" s="1">
        <v>45466</v>
      </c>
      <c r="C634" t="s">
        <v>43</v>
      </c>
      <c r="D634" t="s">
        <v>35</v>
      </c>
      <c r="E634" t="s">
        <v>25</v>
      </c>
      <c r="F634" t="s">
        <v>48</v>
      </c>
      <c r="G634">
        <v>13</v>
      </c>
      <c r="H634">
        <v>16496</v>
      </c>
      <c r="I634">
        <v>214448</v>
      </c>
      <c r="J634" t="s">
        <v>16</v>
      </c>
      <c r="K634" t="s">
        <v>17</v>
      </c>
    </row>
    <row r="635" spans="1:11" x14ac:dyDescent="0.35">
      <c r="A635" t="s">
        <v>676</v>
      </c>
      <c r="B635" s="1">
        <v>45449</v>
      </c>
      <c r="C635" t="s">
        <v>24</v>
      </c>
      <c r="D635" t="s">
        <v>38</v>
      </c>
      <c r="E635" t="s">
        <v>14</v>
      </c>
      <c r="F635" t="s">
        <v>15</v>
      </c>
      <c r="G635">
        <v>16</v>
      </c>
      <c r="H635">
        <v>31696</v>
      </c>
      <c r="I635">
        <v>507136</v>
      </c>
      <c r="J635" t="s">
        <v>21</v>
      </c>
      <c r="K635" t="s">
        <v>17</v>
      </c>
    </row>
    <row r="636" spans="1:11" x14ac:dyDescent="0.35">
      <c r="A636" t="s">
        <v>677</v>
      </c>
      <c r="B636" s="1">
        <v>45516</v>
      </c>
      <c r="C636" t="s">
        <v>43</v>
      </c>
      <c r="D636" t="s">
        <v>38</v>
      </c>
      <c r="E636" t="s">
        <v>30</v>
      </c>
      <c r="F636" t="s">
        <v>81</v>
      </c>
      <c r="G636">
        <v>19</v>
      </c>
      <c r="H636">
        <v>46645</v>
      </c>
      <c r="I636">
        <v>886255</v>
      </c>
      <c r="J636" t="s">
        <v>32</v>
      </c>
      <c r="K636" t="s">
        <v>22</v>
      </c>
    </row>
    <row r="637" spans="1:11" x14ac:dyDescent="0.35">
      <c r="A637" t="s">
        <v>678</v>
      </c>
      <c r="B637" s="1">
        <v>45606</v>
      </c>
      <c r="C637" t="s">
        <v>37</v>
      </c>
      <c r="D637" t="s">
        <v>38</v>
      </c>
      <c r="E637" t="s">
        <v>39</v>
      </c>
      <c r="F637" t="s">
        <v>40</v>
      </c>
      <c r="G637">
        <v>3</v>
      </c>
      <c r="H637">
        <v>38565</v>
      </c>
      <c r="I637">
        <v>115695</v>
      </c>
      <c r="J637" t="s">
        <v>21</v>
      </c>
      <c r="K637" t="s">
        <v>17</v>
      </c>
    </row>
    <row r="638" spans="1:11" x14ac:dyDescent="0.35">
      <c r="A638" t="s">
        <v>679</v>
      </c>
      <c r="B638" s="1">
        <v>45300</v>
      </c>
      <c r="C638" t="s">
        <v>24</v>
      </c>
      <c r="D638" t="s">
        <v>38</v>
      </c>
      <c r="E638" t="s">
        <v>14</v>
      </c>
      <c r="F638" t="s">
        <v>20</v>
      </c>
      <c r="G638">
        <v>17</v>
      </c>
      <c r="H638">
        <v>8317</v>
      </c>
      <c r="I638">
        <v>141389</v>
      </c>
      <c r="J638" t="s">
        <v>32</v>
      </c>
      <c r="K638" t="s">
        <v>22</v>
      </c>
    </row>
    <row r="639" spans="1:11" x14ac:dyDescent="0.35">
      <c r="A639" t="s">
        <v>680</v>
      </c>
      <c r="B639" s="1">
        <v>45641</v>
      </c>
      <c r="C639" t="s">
        <v>12</v>
      </c>
      <c r="D639" t="s">
        <v>38</v>
      </c>
      <c r="E639" t="s">
        <v>30</v>
      </c>
      <c r="F639" t="s">
        <v>81</v>
      </c>
      <c r="G639">
        <v>2</v>
      </c>
      <c r="H639">
        <v>3850</v>
      </c>
      <c r="I639">
        <v>7700</v>
      </c>
      <c r="J639" t="s">
        <v>16</v>
      </c>
      <c r="K639" t="s">
        <v>17</v>
      </c>
    </row>
    <row r="640" spans="1:11" x14ac:dyDescent="0.35">
      <c r="A640" t="s">
        <v>681</v>
      </c>
      <c r="B640" s="1">
        <v>45591</v>
      </c>
      <c r="C640" t="s">
        <v>24</v>
      </c>
      <c r="D640" t="s">
        <v>13</v>
      </c>
      <c r="E640" t="s">
        <v>39</v>
      </c>
      <c r="F640" t="s">
        <v>55</v>
      </c>
      <c r="G640">
        <v>6</v>
      </c>
      <c r="H640">
        <v>7726</v>
      </c>
      <c r="I640">
        <v>46356</v>
      </c>
      <c r="J640" t="s">
        <v>32</v>
      </c>
      <c r="K640" t="s">
        <v>22</v>
      </c>
    </row>
    <row r="641" spans="1:11" x14ac:dyDescent="0.35">
      <c r="A641" t="s">
        <v>682</v>
      </c>
      <c r="B641" s="1">
        <v>45481</v>
      </c>
      <c r="C641" t="s">
        <v>43</v>
      </c>
      <c r="D641" t="s">
        <v>13</v>
      </c>
      <c r="E641" t="s">
        <v>14</v>
      </c>
      <c r="F641" t="s">
        <v>62</v>
      </c>
      <c r="G641">
        <v>2</v>
      </c>
      <c r="H641">
        <v>25426</v>
      </c>
      <c r="I641">
        <v>50852</v>
      </c>
      <c r="J641" t="s">
        <v>27</v>
      </c>
      <c r="K641" t="s">
        <v>22</v>
      </c>
    </row>
    <row r="642" spans="1:11" x14ac:dyDescent="0.35">
      <c r="A642" t="s">
        <v>683</v>
      </c>
      <c r="B642" s="1">
        <v>45378</v>
      </c>
      <c r="C642" t="s">
        <v>37</v>
      </c>
      <c r="D642" t="s">
        <v>35</v>
      </c>
      <c r="E642" t="s">
        <v>30</v>
      </c>
      <c r="F642" t="s">
        <v>31</v>
      </c>
      <c r="G642">
        <v>3</v>
      </c>
      <c r="H642">
        <v>25237</v>
      </c>
      <c r="I642">
        <v>75711</v>
      </c>
      <c r="J642" t="s">
        <v>16</v>
      </c>
      <c r="K642" t="s">
        <v>22</v>
      </c>
    </row>
    <row r="643" spans="1:11" x14ac:dyDescent="0.35">
      <c r="A643" t="s">
        <v>684</v>
      </c>
      <c r="B643" s="1">
        <v>45518</v>
      </c>
      <c r="C643" t="s">
        <v>37</v>
      </c>
      <c r="D643" t="s">
        <v>19</v>
      </c>
      <c r="E643" t="s">
        <v>25</v>
      </c>
      <c r="F643" t="s">
        <v>48</v>
      </c>
      <c r="G643">
        <v>2</v>
      </c>
      <c r="H643">
        <v>36651</v>
      </c>
      <c r="I643">
        <v>73302</v>
      </c>
      <c r="J643" t="s">
        <v>16</v>
      </c>
      <c r="K643" t="s">
        <v>17</v>
      </c>
    </row>
    <row r="644" spans="1:11" x14ac:dyDescent="0.35">
      <c r="A644" t="s">
        <v>685</v>
      </c>
      <c r="B644" s="1">
        <v>45585</v>
      </c>
      <c r="C644" t="s">
        <v>24</v>
      </c>
      <c r="D644" t="s">
        <v>38</v>
      </c>
      <c r="E644" t="s">
        <v>25</v>
      </c>
      <c r="F644" t="s">
        <v>48</v>
      </c>
      <c r="G644">
        <v>4</v>
      </c>
      <c r="H644">
        <v>6158</v>
      </c>
      <c r="I644">
        <v>24632</v>
      </c>
      <c r="J644" t="s">
        <v>27</v>
      </c>
      <c r="K644" t="s">
        <v>22</v>
      </c>
    </row>
    <row r="645" spans="1:11" x14ac:dyDescent="0.35">
      <c r="A645" t="s">
        <v>686</v>
      </c>
      <c r="B645" s="1">
        <v>45623</v>
      </c>
      <c r="C645" t="s">
        <v>29</v>
      </c>
      <c r="D645" t="s">
        <v>13</v>
      </c>
      <c r="E645" t="s">
        <v>25</v>
      </c>
      <c r="F645" t="s">
        <v>48</v>
      </c>
      <c r="G645">
        <v>3</v>
      </c>
      <c r="H645">
        <v>22898</v>
      </c>
      <c r="I645">
        <v>68694</v>
      </c>
      <c r="J645" t="s">
        <v>32</v>
      </c>
      <c r="K645" t="s">
        <v>22</v>
      </c>
    </row>
    <row r="646" spans="1:11" x14ac:dyDescent="0.35">
      <c r="A646" t="s">
        <v>687</v>
      </c>
      <c r="B646" s="1">
        <v>45499</v>
      </c>
      <c r="C646" t="s">
        <v>43</v>
      </c>
      <c r="D646" t="s">
        <v>13</v>
      </c>
      <c r="E646" t="s">
        <v>30</v>
      </c>
      <c r="F646" t="s">
        <v>81</v>
      </c>
      <c r="G646">
        <v>16</v>
      </c>
      <c r="H646">
        <v>19162</v>
      </c>
      <c r="I646">
        <v>306592</v>
      </c>
      <c r="J646" t="s">
        <v>27</v>
      </c>
      <c r="K646" t="s">
        <v>17</v>
      </c>
    </row>
    <row r="647" spans="1:11" x14ac:dyDescent="0.35">
      <c r="A647" t="s">
        <v>688</v>
      </c>
      <c r="B647" s="1">
        <v>45475</v>
      </c>
      <c r="C647" t="s">
        <v>12</v>
      </c>
      <c r="D647" t="s">
        <v>35</v>
      </c>
      <c r="E647" t="s">
        <v>25</v>
      </c>
      <c r="F647" t="s">
        <v>26</v>
      </c>
      <c r="G647">
        <v>17</v>
      </c>
      <c r="H647">
        <v>42597</v>
      </c>
      <c r="I647">
        <v>724149</v>
      </c>
      <c r="J647" t="s">
        <v>27</v>
      </c>
      <c r="K647" t="s">
        <v>22</v>
      </c>
    </row>
    <row r="648" spans="1:11" x14ac:dyDescent="0.35">
      <c r="A648" t="s">
        <v>689</v>
      </c>
      <c r="B648" s="1">
        <v>45335</v>
      </c>
      <c r="C648" t="s">
        <v>12</v>
      </c>
      <c r="D648" t="s">
        <v>35</v>
      </c>
      <c r="E648" t="s">
        <v>25</v>
      </c>
      <c r="F648" t="s">
        <v>58</v>
      </c>
      <c r="G648">
        <v>2</v>
      </c>
      <c r="H648">
        <v>23944</v>
      </c>
      <c r="I648">
        <v>47888</v>
      </c>
      <c r="J648" t="s">
        <v>16</v>
      </c>
      <c r="K648" t="s">
        <v>17</v>
      </c>
    </row>
    <row r="649" spans="1:11" x14ac:dyDescent="0.35">
      <c r="A649" t="s">
        <v>690</v>
      </c>
      <c r="B649" s="1">
        <v>45604</v>
      </c>
      <c r="C649" t="s">
        <v>37</v>
      </c>
      <c r="D649" t="s">
        <v>38</v>
      </c>
      <c r="E649" t="s">
        <v>30</v>
      </c>
      <c r="F649" t="s">
        <v>31</v>
      </c>
      <c r="G649">
        <v>15</v>
      </c>
      <c r="H649">
        <v>15211</v>
      </c>
      <c r="I649">
        <v>228165</v>
      </c>
      <c r="J649" t="s">
        <v>16</v>
      </c>
      <c r="K649" t="s">
        <v>22</v>
      </c>
    </row>
    <row r="650" spans="1:11" x14ac:dyDescent="0.35">
      <c r="A650" t="s">
        <v>691</v>
      </c>
      <c r="B650" s="1">
        <v>45596</v>
      </c>
      <c r="C650" t="s">
        <v>37</v>
      </c>
      <c r="D650" t="s">
        <v>19</v>
      </c>
      <c r="E650" t="s">
        <v>14</v>
      </c>
      <c r="F650" t="s">
        <v>20</v>
      </c>
      <c r="G650">
        <v>4</v>
      </c>
      <c r="H650">
        <v>2045</v>
      </c>
      <c r="I650">
        <v>8180</v>
      </c>
      <c r="J650" t="s">
        <v>32</v>
      </c>
      <c r="K650" t="s">
        <v>33</v>
      </c>
    </row>
    <row r="651" spans="1:11" x14ac:dyDescent="0.35">
      <c r="A651" t="s">
        <v>692</v>
      </c>
      <c r="B651" s="1">
        <v>45605</v>
      </c>
      <c r="C651" t="s">
        <v>24</v>
      </c>
      <c r="D651" t="s">
        <v>38</v>
      </c>
      <c r="E651" t="s">
        <v>30</v>
      </c>
      <c r="F651" t="s">
        <v>81</v>
      </c>
      <c r="G651">
        <v>13</v>
      </c>
      <c r="H651">
        <v>7113</v>
      </c>
      <c r="I651">
        <v>92469</v>
      </c>
      <c r="J651" t="s">
        <v>21</v>
      </c>
      <c r="K651" t="s">
        <v>33</v>
      </c>
    </row>
    <row r="652" spans="1:11" x14ac:dyDescent="0.35">
      <c r="A652" t="s">
        <v>693</v>
      </c>
      <c r="B652" s="1">
        <v>45511</v>
      </c>
      <c r="C652" t="s">
        <v>12</v>
      </c>
      <c r="D652" t="s">
        <v>19</v>
      </c>
      <c r="E652" t="s">
        <v>39</v>
      </c>
      <c r="F652" t="s">
        <v>65</v>
      </c>
      <c r="G652">
        <v>15</v>
      </c>
      <c r="H652">
        <v>46254</v>
      </c>
      <c r="I652">
        <v>693810</v>
      </c>
      <c r="J652" t="s">
        <v>21</v>
      </c>
      <c r="K652" t="s">
        <v>17</v>
      </c>
    </row>
    <row r="653" spans="1:11" x14ac:dyDescent="0.35">
      <c r="A653" t="s">
        <v>694</v>
      </c>
      <c r="B653" s="1">
        <v>45346</v>
      </c>
      <c r="C653" t="s">
        <v>43</v>
      </c>
      <c r="D653" t="s">
        <v>19</v>
      </c>
      <c r="E653" t="s">
        <v>30</v>
      </c>
      <c r="F653" t="s">
        <v>31</v>
      </c>
      <c r="G653">
        <v>20</v>
      </c>
      <c r="H653">
        <v>38458</v>
      </c>
      <c r="I653">
        <v>769160</v>
      </c>
      <c r="J653" t="s">
        <v>21</v>
      </c>
      <c r="K653" t="s">
        <v>33</v>
      </c>
    </row>
    <row r="654" spans="1:11" x14ac:dyDescent="0.35">
      <c r="A654" t="s">
        <v>695</v>
      </c>
      <c r="B654" s="1">
        <v>45343</v>
      </c>
      <c r="C654" t="s">
        <v>29</v>
      </c>
      <c r="D654" t="s">
        <v>13</v>
      </c>
      <c r="E654" t="s">
        <v>25</v>
      </c>
      <c r="F654" t="s">
        <v>48</v>
      </c>
      <c r="G654">
        <v>7</v>
      </c>
      <c r="H654">
        <v>35732</v>
      </c>
      <c r="I654">
        <v>250124</v>
      </c>
      <c r="J654" t="s">
        <v>27</v>
      </c>
      <c r="K654" t="s">
        <v>17</v>
      </c>
    </row>
    <row r="655" spans="1:11" x14ac:dyDescent="0.35">
      <c r="A655" t="s">
        <v>696</v>
      </c>
      <c r="B655" s="1">
        <v>45365</v>
      </c>
      <c r="C655" t="s">
        <v>37</v>
      </c>
      <c r="D655" t="s">
        <v>19</v>
      </c>
      <c r="E655" t="s">
        <v>25</v>
      </c>
      <c r="F655" t="s">
        <v>48</v>
      </c>
      <c r="G655">
        <v>3</v>
      </c>
      <c r="H655">
        <v>7480</v>
      </c>
      <c r="I655">
        <v>22440</v>
      </c>
      <c r="J655" t="s">
        <v>27</v>
      </c>
      <c r="K655" t="s">
        <v>22</v>
      </c>
    </row>
    <row r="656" spans="1:11" x14ac:dyDescent="0.35">
      <c r="A656" t="s">
        <v>697</v>
      </c>
      <c r="B656" s="1">
        <v>45544</v>
      </c>
      <c r="C656" t="s">
        <v>12</v>
      </c>
      <c r="D656" t="s">
        <v>38</v>
      </c>
      <c r="E656" t="s">
        <v>25</v>
      </c>
      <c r="F656" t="s">
        <v>58</v>
      </c>
      <c r="G656">
        <v>4</v>
      </c>
      <c r="H656">
        <v>19928</v>
      </c>
      <c r="I656">
        <v>79712</v>
      </c>
      <c r="J656" t="s">
        <v>16</v>
      </c>
      <c r="K656" t="s">
        <v>33</v>
      </c>
    </row>
    <row r="657" spans="1:11" x14ac:dyDescent="0.35">
      <c r="A657" t="s">
        <v>698</v>
      </c>
      <c r="B657" s="1">
        <v>45338</v>
      </c>
      <c r="C657" t="s">
        <v>24</v>
      </c>
      <c r="D657" t="s">
        <v>35</v>
      </c>
      <c r="E657" t="s">
        <v>25</v>
      </c>
      <c r="F657" t="s">
        <v>26</v>
      </c>
      <c r="G657">
        <v>3</v>
      </c>
      <c r="H657">
        <v>37425</v>
      </c>
      <c r="I657">
        <v>112275</v>
      </c>
      <c r="J657" t="s">
        <v>21</v>
      </c>
      <c r="K657" t="s">
        <v>17</v>
      </c>
    </row>
    <row r="658" spans="1:11" x14ac:dyDescent="0.35">
      <c r="A658" t="s">
        <v>699</v>
      </c>
      <c r="B658" s="1">
        <v>45526</v>
      </c>
      <c r="C658" t="s">
        <v>43</v>
      </c>
      <c r="D658" t="s">
        <v>35</v>
      </c>
      <c r="E658" t="s">
        <v>39</v>
      </c>
      <c r="F658" t="s">
        <v>65</v>
      </c>
      <c r="G658">
        <v>3</v>
      </c>
      <c r="H658">
        <v>38874</v>
      </c>
      <c r="I658">
        <v>116622</v>
      </c>
      <c r="J658" t="s">
        <v>16</v>
      </c>
      <c r="K658" t="s">
        <v>17</v>
      </c>
    </row>
    <row r="659" spans="1:11" x14ac:dyDescent="0.35">
      <c r="A659" t="s">
        <v>700</v>
      </c>
      <c r="B659" s="1">
        <v>45504</v>
      </c>
      <c r="C659" t="s">
        <v>12</v>
      </c>
      <c r="D659" t="s">
        <v>35</v>
      </c>
      <c r="E659" t="s">
        <v>25</v>
      </c>
      <c r="F659" t="s">
        <v>58</v>
      </c>
      <c r="G659">
        <v>3</v>
      </c>
      <c r="H659">
        <v>4793</v>
      </c>
      <c r="I659">
        <v>14379</v>
      </c>
      <c r="J659" t="s">
        <v>21</v>
      </c>
      <c r="K659" t="s">
        <v>33</v>
      </c>
    </row>
    <row r="660" spans="1:11" x14ac:dyDescent="0.35">
      <c r="A660" t="s">
        <v>701</v>
      </c>
      <c r="B660" s="1">
        <v>45599</v>
      </c>
      <c r="C660" t="s">
        <v>29</v>
      </c>
      <c r="D660" t="s">
        <v>19</v>
      </c>
      <c r="E660" t="s">
        <v>25</v>
      </c>
      <c r="F660" t="s">
        <v>58</v>
      </c>
      <c r="G660">
        <v>4</v>
      </c>
      <c r="H660">
        <v>6515</v>
      </c>
      <c r="I660">
        <v>26060</v>
      </c>
      <c r="J660" t="s">
        <v>16</v>
      </c>
      <c r="K660" t="s">
        <v>33</v>
      </c>
    </row>
    <row r="661" spans="1:11" x14ac:dyDescent="0.35">
      <c r="A661" t="s">
        <v>702</v>
      </c>
      <c r="B661" s="1">
        <v>45470</v>
      </c>
      <c r="C661" t="s">
        <v>29</v>
      </c>
      <c r="D661" t="s">
        <v>13</v>
      </c>
      <c r="E661" t="s">
        <v>25</v>
      </c>
      <c r="F661" t="s">
        <v>26</v>
      </c>
      <c r="G661">
        <v>19</v>
      </c>
      <c r="H661">
        <v>34978</v>
      </c>
      <c r="I661">
        <v>664582</v>
      </c>
      <c r="J661" t="s">
        <v>32</v>
      </c>
      <c r="K661" t="s">
        <v>22</v>
      </c>
    </row>
    <row r="662" spans="1:11" x14ac:dyDescent="0.35">
      <c r="A662" t="s">
        <v>703</v>
      </c>
      <c r="B662" s="1">
        <v>45340</v>
      </c>
      <c r="C662" t="s">
        <v>29</v>
      </c>
      <c r="D662" t="s">
        <v>35</v>
      </c>
      <c r="E662" t="s">
        <v>30</v>
      </c>
      <c r="F662" t="s">
        <v>31</v>
      </c>
      <c r="G662">
        <v>9</v>
      </c>
      <c r="H662">
        <v>27377</v>
      </c>
      <c r="I662">
        <v>246393</v>
      </c>
      <c r="J662" t="s">
        <v>32</v>
      </c>
      <c r="K662" t="s">
        <v>17</v>
      </c>
    </row>
    <row r="663" spans="1:11" x14ac:dyDescent="0.35">
      <c r="A663" t="s">
        <v>704</v>
      </c>
      <c r="B663" s="1">
        <v>45570</v>
      </c>
      <c r="C663" t="s">
        <v>37</v>
      </c>
      <c r="D663" t="s">
        <v>35</v>
      </c>
      <c r="E663" t="s">
        <v>39</v>
      </c>
      <c r="F663" t="s">
        <v>55</v>
      </c>
      <c r="G663">
        <v>17</v>
      </c>
      <c r="H663">
        <v>46066</v>
      </c>
      <c r="I663">
        <v>783122</v>
      </c>
      <c r="J663" t="s">
        <v>21</v>
      </c>
      <c r="K663" t="s">
        <v>17</v>
      </c>
    </row>
    <row r="664" spans="1:11" x14ac:dyDescent="0.35">
      <c r="A664" t="s">
        <v>705</v>
      </c>
      <c r="B664" s="1">
        <v>45506</v>
      </c>
      <c r="C664" t="s">
        <v>29</v>
      </c>
      <c r="D664" t="s">
        <v>19</v>
      </c>
      <c r="E664" t="s">
        <v>30</v>
      </c>
      <c r="F664" t="s">
        <v>31</v>
      </c>
      <c r="G664">
        <v>19</v>
      </c>
      <c r="H664">
        <v>34439</v>
      </c>
      <c r="I664">
        <v>654341</v>
      </c>
      <c r="J664" t="s">
        <v>21</v>
      </c>
      <c r="K664" t="s">
        <v>33</v>
      </c>
    </row>
    <row r="665" spans="1:11" x14ac:dyDescent="0.35">
      <c r="A665" t="s">
        <v>706</v>
      </c>
      <c r="B665" s="1">
        <v>45339</v>
      </c>
      <c r="C665" t="s">
        <v>29</v>
      </c>
      <c r="D665" t="s">
        <v>19</v>
      </c>
      <c r="E665" t="s">
        <v>25</v>
      </c>
      <c r="F665" t="s">
        <v>48</v>
      </c>
      <c r="G665">
        <v>12</v>
      </c>
      <c r="H665">
        <v>5589</v>
      </c>
      <c r="I665">
        <v>67068</v>
      </c>
      <c r="J665" t="s">
        <v>32</v>
      </c>
      <c r="K665" t="s">
        <v>33</v>
      </c>
    </row>
    <row r="666" spans="1:11" x14ac:dyDescent="0.35">
      <c r="A666" t="s">
        <v>707</v>
      </c>
      <c r="B666" s="1">
        <v>45371</v>
      </c>
      <c r="C666" t="s">
        <v>37</v>
      </c>
      <c r="D666" t="s">
        <v>13</v>
      </c>
      <c r="E666" t="s">
        <v>14</v>
      </c>
      <c r="F666" t="s">
        <v>62</v>
      </c>
      <c r="G666">
        <v>18</v>
      </c>
      <c r="H666">
        <v>44080</v>
      </c>
      <c r="I666">
        <v>793440</v>
      </c>
      <c r="J666" t="s">
        <v>27</v>
      </c>
      <c r="K666" t="s">
        <v>22</v>
      </c>
    </row>
    <row r="667" spans="1:11" x14ac:dyDescent="0.35">
      <c r="A667" t="s">
        <v>708</v>
      </c>
      <c r="B667" s="1">
        <v>45554</v>
      </c>
      <c r="C667" t="s">
        <v>29</v>
      </c>
      <c r="D667" t="s">
        <v>19</v>
      </c>
      <c r="E667" t="s">
        <v>14</v>
      </c>
      <c r="F667" t="s">
        <v>20</v>
      </c>
      <c r="G667">
        <v>20</v>
      </c>
      <c r="H667">
        <v>5196</v>
      </c>
      <c r="I667">
        <v>103920</v>
      </c>
      <c r="J667" t="s">
        <v>21</v>
      </c>
      <c r="K667" t="s">
        <v>22</v>
      </c>
    </row>
    <row r="668" spans="1:11" x14ac:dyDescent="0.35">
      <c r="A668" t="s">
        <v>709</v>
      </c>
      <c r="B668" s="1">
        <v>45373</v>
      </c>
      <c r="C668" t="s">
        <v>24</v>
      </c>
      <c r="D668" t="s">
        <v>19</v>
      </c>
      <c r="E668" t="s">
        <v>14</v>
      </c>
      <c r="F668" t="s">
        <v>62</v>
      </c>
      <c r="G668">
        <v>13</v>
      </c>
      <c r="H668">
        <v>48690</v>
      </c>
      <c r="I668">
        <v>632970</v>
      </c>
      <c r="J668" t="s">
        <v>16</v>
      </c>
      <c r="K668" t="s">
        <v>33</v>
      </c>
    </row>
    <row r="669" spans="1:11" x14ac:dyDescent="0.35">
      <c r="A669" t="s">
        <v>710</v>
      </c>
      <c r="B669" s="1">
        <v>45406</v>
      </c>
      <c r="C669" t="s">
        <v>24</v>
      </c>
      <c r="D669" t="s">
        <v>19</v>
      </c>
      <c r="E669" t="s">
        <v>39</v>
      </c>
      <c r="F669" t="s">
        <v>65</v>
      </c>
      <c r="G669">
        <v>16</v>
      </c>
      <c r="H669">
        <v>17554</v>
      </c>
      <c r="I669">
        <v>280864</v>
      </c>
      <c r="J669" t="s">
        <v>32</v>
      </c>
      <c r="K669" t="s">
        <v>33</v>
      </c>
    </row>
    <row r="670" spans="1:11" x14ac:dyDescent="0.35">
      <c r="A670" t="s">
        <v>711</v>
      </c>
      <c r="B670" s="1">
        <v>45312</v>
      </c>
      <c r="C670" t="s">
        <v>43</v>
      </c>
      <c r="D670" t="s">
        <v>38</v>
      </c>
      <c r="E670" t="s">
        <v>25</v>
      </c>
      <c r="F670" t="s">
        <v>58</v>
      </c>
      <c r="G670">
        <v>13</v>
      </c>
      <c r="H670">
        <v>4365</v>
      </c>
      <c r="I670">
        <v>56745</v>
      </c>
      <c r="J670" t="s">
        <v>21</v>
      </c>
      <c r="K670" t="s">
        <v>33</v>
      </c>
    </row>
    <row r="671" spans="1:11" x14ac:dyDescent="0.35">
      <c r="A671" t="s">
        <v>712</v>
      </c>
      <c r="B671" s="1">
        <v>45634</v>
      </c>
      <c r="C671" t="s">
        <v>43</v>
      </c>
      <c r="D671" t="s">
        <v>35</v>
      </c>
      <c r="E671" t="s">
        <v>30</v>
      </c>
      <c r="F671" t="s">
        <v>31</v>
      </c>
      <c r="G671">
        <v>2</v>
      </c>
      <c r="H671">
        <v>30790</v>
      </c>
      <c r="I671">
        <v>61580</v>
      </c>
      <c r="J671" t="s">
        <v>21</v>
      </c>
      <c r="K671" t="s">
        <v>22</v>
      </c>
    </row>
    <row r="672" spans="1:11" x14ac:dyDescent="0.35">
      <c r="A672" t="s">
        <v>713</v>
      </c>
      <c r="B672" s="1">
        <v>45539</v>
      </c>
      <c r="C672" t="s">
        <v>24</v>
      </c>
      <c r="D672" t="s">
        <v>35</v>
      </c>
      <c r="E672" t="s">
        <v>14</v>
      </c>
      <c r="F672" t="s">
        <v>62</v>
      </c>
      <c r="G672">
        <v>15</v>
      </c>
      <c r="H672">
        <v>19224</v>
      </c>
      <c r="I672">
        <v>288360</v>
      </c>
      <c r="J672" t="s">
        <v>27</v>
      </c>
      <c r="K672" t="s">
        <v>17</v>
      </c>
    </row>
    <row r="673" spans="1:11" x14ac:dyDescent="0.35">
      <c r="A673" t="s">
        <v>714</v>
      </c>
      <c r="B673" s="1">
        <v>45602</v>
      </c>
      <c r="C673" t="s">
        <v>24</v>
      </c>
      <c r="D673" t="s">
        <v>19</v>
      </c>
      <c r="E673" t="s">
        <v>14</v>
      </c>
      <c r="F673" t="s">
        <v>62</v>
      </c>
      <c r="G673">
        <v>7</v>
      </c>
      <c r="H673">
        <v>18530</v>
      </c>
      <c r="I673">
        <v>129710</v>
      </c>
      <c r="J673" t="s">
        <v>21</v>
      </c>
      <c r="K673" t="s">
        <v>22</v>
      </c>
    </row>
    <row r="674" spans="1:11" x14ac:dyDescent="0.35">
      <c r="A674" t="s">
        <v>715</v>
      </c>
      <c r="B674" s="1">
        <v>45657</v>
      </c>
      <c r="C674" t="s">
        <v>43</v>
      </c>
      <c r="D674" t="s">
        <v>13</v>
      </c>
      <c r="E674" t="s">
        <v>39</v>
      </c>
      <c r="F674" t="s">
        <v>55</v>
      </c>
      <c r="G674">
        <v>12</v>
      </c>
      <c r="H674">
        <v>1294</v>
      </c>
      <c r="I674">
        <v>15528</v>
      </c>
      <c r="J674" t="s">
        <v>16</v>
      </c>
      <c r="K674" t="s">
        <v>22</v>
      </c>
    </row>
    <row r="675" spans="1:11" x14ac:dyDescent="0.35">
      <c r="A675" t="s">
        <v>716</v>
      </c>
      <c r="B675" s="1">
        <v>45360</v>
      </c>
      <c r="C675" t="s">
        <v>12</v>
      </c>
      <c r="D675" t="s">
        <v>35</v>
      </c>
      <c r="E675" t="s">
        <v>14</v>
      </c>
      <c r="F675" t="s">
        <v>15</v>
      </c>
      <c r="G675">
        <v>9</v>
      </c>
      <c r="H675">
        <v>12801</v>
      </c>
      <c r="I675">
        <v>115209</v>
      </c>
      <c r="J675" t="s">
        <v>27</v>
      </c>
      <c r="K675" t="s">
        <v>22</v>
      </c>
    </row>
    <row r="676" spans="1:11" x14ac:dyDescent="0.35">
      <c r="A676" t="s">
        <v>717</v>
      </c>
      <c r="B676" s="1">
        <v>45439</v>
      </c>
      <c r="C676" t="s">
        <v>24</v>
      </c>
      <c r="D676" t="s">
        <v>38</v>
      </c>
      <c r="E676" t="s">
        <v>25</v>
      </c>
      <c r="F676" t="s">
        <v>58</v>
      </c>
      <c r="G676">
        <v>3</v>
      </c>
      <c r="H676">
        <v>15347</v>
      </c>
      <c r="I676">
        <v>46041</v>
      </c>
      <c r="J676" t="s">
        <v>27</v>
      </c>
      <c r="K676" t="s">
        <v>17</v>
      </c>
    </row>
    <row r="677" spans="1:11" x14ac:dyDescent="0.35">
      <c r="A677" t="s">
        <v>718</v>
      </c>
      <c r="B677" s="1">
        <v>45457</v>
      </c>
      <c r="C677" t="s">
        <v>37</v>
      </c>
      <c r="D677" t="s">
        <v>38</v>
      </c>
      <c r="E677" t="s">
        <v>39</v>
      </c>
      <c r="F677" t="s">
        <v>55</v>
      </c>
      <c r="G677">
        <v>2</v>
      </c>
      <c r="H677">
        <v>5200</v>
      </c>
      <c r="I677">
        <v>10400</v>
      </c>
      <c r="J677" t="s">
        <v>21</v>
      </c>
      <c r="K677" t="s">
        <v>22</v>
      </c>
    </row>
    <row r="678" spans="1:11" x14ac:dyDescent="0.35">
      <c r="A678" t="s">
        <v>719</v>
      </c>
      <c r="B678" s="1">
        <v>45401</v>
      </c>
      <c r="C678" t="s">
        <v>37</v>
      </c>
      <c r="D678" t="s">
        <v>19</v>
      </c>
      <c r="E678" t="s">
        <v>30</v>
      </c>
      <c r="F678" t="s">
        <v>44</v>
      </c>
      <c r="G678">
        <v>6</v>
      </c>
      <c r="H678">
        <v>42626</v>
      </c>
      <c r="I678">
        <v>255756</v>
      </c>
      <c r="J678" t="s">
        <v>27</v>
      </c>
      <c r="K678" t="s">
        <v>33</v>
      </c>
    </row>
    <row r="679" spans="1:11" x14ac:dyDescent="0.35">
      <c r="A679" t="s">
        <v>720</v>
      </c>
      <c r="B679" s="1">
        <v>45653</v>
      </c>
      <c r="C679" t="s">
        <v>37</v>
      </c>
      <c r="D679" t="s">
        <v>38</v>
      </c>
      <c r="E679" t="s">
        <v>30</v>
      </c>
      <c r="F679" t="s">
        <v>81</v>
      </c>
      <c r="G679">
        <v>19</v>
      </c>
      <c r="H679">
        <v>24133</v>
      </c>
      <c r="I679">
        <v>458527</v>
      </c>
      <c r="J679" t="s">
        <v>27</v>
      </c>
      <c r="K679" t="s">
        <v>22</v>
      </c>
    </row>
    <row r="680" spans="1:11" x14ac:dyDescent="0.35">
      <c r="A680" t="s">
        <v>721</v>
      </c>
      <c r="B680" s="1">
        <v>45567</v>
      </c>
      <c r="C680" t="s">
        <v>43</v>
      </c>
      <c r="D680" t="s">
        <v>19</v>
      </c>
      <c r="E680" t="s">
        <v>30</v>
      </c>
      <c r="F680" t="s">
        <v>31</v>
      </c>
      <c r="G680">
        <v>12</v>
      </c>
      <c r="H680">
        <v>18689</v>
      </c>
      <c r="I680">
        <v>224268</v>
      </c>
      <c r="J680" t="s">
        <v>16</v>
      </c>
      <c r="K680" t="s">
        <v>33</v>
      </c>
    </row>
    <row r="681" spans="1:11" x14ac:dyDescent="0.35">
      <c r="A681" t="s">
        <v>722</v>
      </c>
      <c r="B681" s="1">
        <v>45333</v>
      </c>
      <c r="C681" t="s">
        <v>43</v>
      </c>
      <c r="D681" t="s">
        <v>38</v>
      </c>
      <c r="E681" t="s">
        <v>39</v>
      </c>
      <c r="F681" t="s">
        <v>40</v>
      </c>
      <c r="G681">
        <v>13</v>
      </c>
      <c r="H681">
        <v>32727</v>
      </c>
      <c r="I681">
        <v>425451</v>
      </c>
      <c r="J681" t="s">
        <v>32</v>
      </c>
      <c r="K681" t="s">
        <v>22</v>
      </c>
    </row>
    <row r="682" spans="1:11" x14ac:dyDescent="0.35">
      <c r="A682" t="s">
        <v>723</v>
      </c>
      <c r="B682" s="1">
        <v>45375</v>
      </c>
      <c r="C682" t="s">
        <v>12</v>
      </c>
      <c r="D682" t="s">
        <v>19</v>
      </c>
      <c r="E682" t="s">
        <v>14</v>
      </c>
      <c r="F682" t="s">
        <v>20</v>
      </c>
      <c r="G682">
        <v>11</v>
      </c>
      <c r="H682">
        <v>6305</v>
      </c>
      <c r="I682">
        <v>69355</v>
      </c>
      <c r="J682" t="s">
        <v>27</v>
      </c>
      <c r="K682" t="s">
        <v>17</v>
      </c>
    </row>
    <row r="683" spans="1:11" x14ac:dyDescent="0.35">
      <c r="A683" t="s">
        <v>724</v>
      </c>
      <c r="B683" s="1">
        <v>45350</v>
      </c>
      <c r="C683" t="s">
        <v>12</v>
      </c>
      <c r="D683" t="s">
        <v>38</v>
      </c>
      <c r="E683" t="s">
        <v>25</v>
      </c>
      <c r="F683" t="s">
        <v>48</v>
      </c>
      <c r="G683">
        <v>8</v>
      </c>
      <c r="H683">
        <v>1983</v>
      </c>
      <c r="I683">
        <v>15864</v>
      </c>
      <c r="J683" t="s">
        <v>27</v>
      </c>
      <c r="K683" t="s">
        <v>22</v>
      </c>
    </row>
    <row r="684" spans="1:11" x14ac:dyDescent="0.35">
      <c r="A684" t="s">
        <v>725</v>
      </c>
      <c r="B684" s="1">
        <v>45641</v>
      </c>
      <c r="C684" t="s">
        <v>43</v>
      </c>
      <c r="D684" t="s">
        <v>13</v>
      </c>
      <c r="E684" t="s">
        <v>25</v>
      </c>
      <c r="F684" t="s">
        <v>48</v>
      </c>
      <c r="G684">
        <v>15</v>
      </c>
      <c r="H684">
        <v>23540</v>
      </c>
      <c r="I684">
        <v>353100</v>
      </c>
      <c r="J684" t="s">
        <v>27</v>
      </c>
      <c r="K684" t="s">
        <v>22</v>
      </c>
    </row>
    <row r="685" spans="1:11" x14ac:dyDescent="0.35">
      <c r="A685" t="s">
        <v>726</v>
      </c>
      <c r="B685" s="1">
        <v>45298</v>
      </c>
      <c r="C685" t="s">
        <v>29</v>
      </c>
      <c r="D685" t="s">
        <v>19</v>
      </c>
      <c r="E685" t="s">
        <v>25</v>
      </c>
      <c r="F685" t="s">
        <v>26</v>
      </c>
      <c r="G685">
        <v>17</v>
      </c>
      <c r="H685">
        <v>41001</v>
      </c>
      <c r="I685">
        <v>697017</v>
      </c>
      <c r="J685" t="s">
        <v>16</v>
      </c>
      <c r="K685" t="s">
        <v>17</v>
      </c>
    </row>
    <row r="686" spans="1:11" x14ac:dyDescent="0.35">
      <c r="A686" t="s">
        <v>727</v>
      </c>
      <c r="B686" s="1">
        <v>45602</v>
      </c>
      <c r="C686" t="s">
        <v>12</v>
      </c>
      <c r="D686" t="s">
        <v>19</v>
      </c>
      <c r="E686" t="s">
        <v>39</v>
      </c>
      <c r="F686" t="s">
        <v>55</v>
      </c>
      <c r="G686">
        <v>12</v>
      </c>
      <c r="H686">
        <v>4507</v>
      </c>
      <c r="I686">
        <v>54084</v>
      </c>
      <c r="J686" t="s">
        <v>16</v>
      </c>
      <c r="K686" t="s">
        <v>33</v>
      </c>
    </row>
    <row r="687" spans="1:11" x14ac:dyDescent="0.35">
      <c r="A687" t="s">
        <v>728</v>
      </c>
      <c r="B687" s="1">
        <v>45472</v>
      </c>
      <c r="C687" t="s">
        <v>37</v>
      </c>
      <c r="D687" t="s">
        <v>38</v>
      </c>
      <c r="E687" t="s">
        <v>30</v>
      </c>
      <c r="F687" t="s">
        <v>31</v>
      </c>
      <c r="G687">
        <v>12</v>
      </c>
      <c r="H687">
        <v>24422</v>
      </c>
      <c r="I687">
        <v>293064</v>
      </c>
      <c r="J687" t="s">
        <v>16</v>
      </c>
      <c r="K687" t="s">
        <v>17</v>
      </c>
    </row>
    <row r="688" spans="1:11" x14ac:dyDescent="0.35">
      <c r="A688" t="s">
        <v>729</v>
      </c>
      <c r="B688" s="1">
        <v>45334</v>
      </c>
      <c r="C688" t="s">
        <v>29</v>
      </c>
      <c r="D688" t="s">
        <v>35</v>
      </c>
      <c r="E688" t="s">
        <v>25</v>
      </c>
      <c r="F688" t="s">
        <v>58</v>
      </c>
      <c r="G688">
        <v>3</v>
      </c>
      <c r="H688">
        <v>42294</v>
      </c>
      <c r="I688">
        <v>126882</v>
      </c>
      <c r="J688" t="s">
        <v>16</v>
      </c>
      <c r="K688" t="s">
        <v>22</v>
      </c>
    </row>
    <row r="689" spans="1:11" x14ac:dyDescent="0.35">
      <c r="A689" t="s">
        <v>730</v>
      </c>
      <c r="B689" s="1">
        <v>45426</v>
      </c>
      <c r="C689" t="s">
        <v>24</v>
      </c>
      <c r="D689" t="s">
        <v>19</v>
      </c>
      <c r="E689" t="s">
        <v>14</v>
      </c>
      <c r="F689" t="s">
        <v>15</v>
      </c>
      <c r="G689">
        <v>1</v>
      </c>
      <c r="H689">
        <v>16653</v>
      </c>
      <c r="I689">
        <v>16653</v>
      </c>
      <c r="J689" t="s">
        <v>21</v>
      </c>
      <c r="K689" t="s">
        <v>17</v>
      </c>
    </row>
    <row r="690" spans="1:11" x14ac:dyDescent="0.35">
      <c r="A690" t="s">
        <v>731</v>
      </c>
      <c r="B690" s="1">
        <v>45365</v>
      </c>
      <c r="C690" t="s">
        <v>37</v>
      </c>
      <c r="D690" t="s">
        <v>38</v>
      </c>
      <c r="E690" t="s">
        <v>30</v>
      </c>
      <c r="F690" t="s">
        <v>31</v>
      </c>
      <c r="G690">
        <v>1</v>
      </c>
      <c r="H690">
        <v>35397</v>
      </c>
      <c r="I690">
        <v>35397</v>
      </c>
      <c r="J690" t="s">
        <v>27</v>
      </c>
      <c r="K690" t="s">
        <v>33</v>
      </c>
    </row>
    <row r="691" spans="1:11" x14ac:dyDescent="0.35">
      <c r="A691" t="s">
        <v>732</v>
      </c>
      <c r="B691" s="1">
        <v>45299</v>
      </c>
      <c r="C691" t="s">
        <v>43</v>
      </c>
      <c r="D691" t="s">
        <v>13</v>
      </c>
      <c r="E691" t="s">
        <v>30</v>
      </c>
      <c r="F691" t="s">
        <v>31</v>
      </c>
      <c r="G691">
        <v>1</v>
      </c>
      <c r="H691">
        <v>5823</v>
      </c>
      <c r="I691">
        <v>5823</v>
      </c>
      <c r="J691" t="s">
        <v>16</v>
      </c>
      <c r="K691" t="s">
        <v>22</v>
      </c>
    </row>
    <row r="692" spans="1:11" x14ac:dyDescent="0.35">
      <c r="A692" t="s">
        <v>733</v>
      </c>
      <c r="B692" s="1">
        <v>45313</v>
      </c>
      <c r="C692" t="s">
        <v>37</v>
      </c>
      <c r="D692" t="s">
        <v>38</v>
      </c>
      <c r="E692" t="s">
        <v>25</v>
      </c>
      <c r="F692" t="s">
        <v>26</v>
      </c>
      <c r="G692">
        <v>8</v>
      </c>
      <c r="H692">
        <v>8479</v>
      </c>
      <c r="I692">
        <v>67832</v>
      </c>
      <c r="J692" t="s">
        <v>21</v>
      </c>
      <c r="K692" t="s">
        <v>33</v>
      </c>
    </row>
    <row r="693" spans="1:11" x14ac:dyDescent="0.35">
      <c r="A693" t="s">
        <v>734</v>
      </c>
      <c r="B693" s="1">
        <v>45648</v>
      </c>
      <c r="C693" t="s">
        <v>43</v>
      </c>
      <c r="D693" t="s">
        <v>35</v>
      </c>
      <c r="E693" t="s">
        <v>25</v>
      </c>
      <c r="F693" t="s">
        <v>26</v>
      </c>
      <c r="G693">
        <v>17</v>
      </c>
      <c r="H693">
        <v>46075</v>
      </c>
      <c r="I693">
        <v>783275</v>
      </c>
      <c r="J693" t="s">
        <v>32</v>
      </c>
      <c r="K693" t="s">
        <v>17</v>
      </c>
    </row>
    <row r="694" spans="1:11" x14ac:dyDescent="0.35">
      <c r="A694" t="s">
        <v>735</v>
      </c>
      <c r="B694" s="1">
        <v>45539</v>
      </c>
      <c r="C694" t="s">
        <v>43</v>
      </c>
      <c r="D694" t="s">
        <v>19</v>
      </c>
      <c r="E694" t="s">
        <v>14</v>
      </c>
      <c r="F694" t="s">
        <v>20</v>
      </c>
      <c r="G694">
        <v>10</v>
      </c>
      <c r="H694">
        <v>40970</v>
      </c>
      <c r="I694">
        <v>409700</v>
      </c>
      <c r="J694" t="s">
        <v>32</v>
      </c>
      <c r="K694" t="s">
        <v>22</v>
      </c>
    </row>
    <row r="695" spans="1:11" x14ac:dyDescent="0.35">
      <c r="A695" t="s">
        <v>736</v>
      </c>
      <c r="B695" s="1">
        <v>45552</v>
      </c>
      <c r="C695" t="s">
        <v>24</v>
      </c>
      <c r="D695" t="s">
        <v>13</v>
      </c>
      <c r="E695" t="s">
        <v>25</v>
      </c>
      <c r="F695" t="s">
        <v>48</v>
      </c>
      <c r="G695">
        <v>10</v>
      </c>
      <c r="H695">
        <v>26709</v>
      </c>
      <c r="I695">
        <v>267090</v>
      </c>
      <c r="J695" t="s">
        <v>21</v>
      </c>
      <c r="K695" t="s">
        <v>33</v>
      </c>
    </row>
    <row r="696" spans="1:11" x14ac:dyDescent="0.35">
      <c r="A696" t="s">
        <v>737</v>
      </c>
      <c r="B696" s="1">
        <v>45293</v>
      </c>
      <c r="C696" t="s">
        <v>24</v>
      </c>
      <c r="D696" t="s">
        <v>19</v>
      </c>
      <c r="E696" t="s">
        <v>39</v>
      </c>
      <c r="F696" t="s">
        <v>55</v>
      </c>
      <c r="G696">
        <v>6</v>
      </c>
      <c r="H696">
        <v>17581</v>
      </c>
      <c r="I696">
        <v>105486</v>
      </c>
      <c r="J696" t="s">
        <v>32</v>
      </c>
      <c r="K696" t="s">
        <v>17</v>
      </c>
    </row>
    <row r="697" spans="1:11" x14ac:dyDescent="0.35">
      <c r="A697" t="s">
        <v>738</v>
      </c>
      <c r="B697" s="1">
        <v>45364</v>
      </c>
      <c r="C697" t="s">
        <v>24</v>
      </c>
      <c r="D697" t="s">
        <v>13</v>
      </c>
      <c r="E697" t="s">
        <v>14</v>
      </c>
      <c r="F697" t="s">
        <v>15</v>
      </c>
      <c r="G697">
        <v>5</v>
      </c>
      <c r="H697">
        <v>31570</v>
      </c>
      <c r="I697">
        <v>157850</v>
      </c>
      <c r="J697" t="s">
        <v>16</v>
      </c>
      <c r="K697" t="s">
        <v>22</v>
      </c>
    </row>
    <row r="698" spans="1:11" x14ac:dyDescent="0.35">
      <c r="A698" t="s">
        <v>739</v>
      </c>
      <c r="B698" s="1">
        <v>45396</v>
      </c>
      <c r="C698" t="s">
        <v>12</v>
      </c>
      <c r="D698" t="s">
        <v>13</v>
      </c>
      <c r="E698" t="s">
        <v>25</v>
      </c>
      <c r="F698" t="s">
        <v>48</v>
      </c>
      <c r="G698">
        <v>19</v>
      </c>
      <c r="H698">
        <v>19914</v>
      </c>
      <c r="I698">
        <v>378366</v>
      </c>
      <c r="J698" t="s">
        <v>32</v>
      </c>
      <c r="K698" t="s">
        <v>17</v>
      </c>
    </row>
    <row r="699" spans="1:11" x14ac:dyDescent="0.35">
      <c r="A699" t="s">
        <v>740</v>
      </c>
      <c r="B699" s="1">
        <v>45332</v>
      </c>
      <c r="C699" t="s">
        <v>24</v>
      </c>
      <c r="D699" t="s">
        <v>35</v>
      </c>
      <c r="E699" t="s">
        <v>14</v>
      </c>
      <c r="F699" t="s">
        <v>62</v>
      </c>
      <c r="G699">
        <v>16</v>
      </c>
      <c r="H699">
        <v>25039</v>
      </c>
      <c r="I699">
        <v>400624</v>
      </c>
      <c r="J699" t="s">
        <v>27</v>
      </c>
      <c r="K699" t="s">
        <v>22</v>
      </c>
    </row>
    <row r="700" spans="1:11" x14ac:dyDescent="0.35">
      <c r="A700" t="s">
        <v>741</v>
      </c>
      <c r="B700" s="1">
        <v>45322</v>
      </c>
      <c r="C700" t="s">
        <v>12</v>
      </c>
      <c r="D700" t="s">
        <v>38</v>
      </c>
      <c r="E700" t="s">
        <v>25</v>
      </c>
      <c r="F700" t="s">
        <v>48</v>
      </c>
      <c r="G700">
        <v>3</v>
      </c>
      <c r="H700">
        <v>14803</v>
      </c>
      <c r="I700">
        <v>44409</v>
      </c>
      <c r="J700" t="s">
        <v>27</v>
      </c>
      <c r="K700" t="s">
        <v>17</v>
      </c>
    </row>
    <row r="701" spans="1:11" x14ac:dyDescent="0.35">
      <c r="A701" t="s">
        <v>742</v>
      </c>
      <c r="B701" s="1">
        <v>45605</v>
      </c>
      <c r="C701" t="s">
        <v>29</v>
      </c>
      <c r="D701" t="s">
        <v>19</v>
      </c>
      <c r="E701" t="s">
        <v>25</v>
      </c>
      <c r="F701" t="s">
        <v>48</v>
      </c>
      <c r="G701">
        <v>12</v>
      </c>
      <c r="H701">
        <v>10051</v>
      </c>
      <c r="I701">
        <v>120612</v>
      </c>
      <c r="J701" t="s">
        <v>32</v>
      </c>
      <c r="K701" t="s">
        <v>17</v>
      </c>
    </row>
    <row r="702" spans="1:11" x14ac:dyDescent="0.35">
      <c r="A702" t="s">
        <v>743</v>
      </c>
      <c r="B702" s="1">
        <v>45340</v>
      </c>
      <c r="C702" t="s">
        <v>43</v>
      </c>
      <c r="D702" t="s">
        <v>19</v>
      </c>
      <c r="E702" t="s">
        <v>30</v>
      </c>
      <c r="F702" t="s">
        <v>31</v>
      </c>
      <c r="G702">
        <v>4</v>
      </c>
      <c r="H702">
        <v>45057</v>
      </c>
      <c r="I702">
        <v>180228</v>
      </c>
      <c r="J702" t="s">
        <v>32</v>
      </c>
      <c r="K702" t="s">
        <v>17</v>
      </c>
    </row>
    <row r="703" spans="1:11" x14ac:dyDescent="0.35">
      <c r="A703" t="s">
        <v>744</v>
      </c>
      <c r="B703" s="1">
        <v>45331</v>
      </c>
      <c r="C703" t="s">
        <v>12</v>
      </c>
      <c r="D703" t="s">
        <v>35</v>
      </c>
      <c r="E703" t="s">
        <v>39</v>
      </c>
      <c r="F703" t="s">
        <v>55</v>
      </c>
      <c r="G703">
        <v>11</v>
      </c>
      <c r="H703">
        <v>7572</v>
      </c>
      <c r="I703">
        <v>83292</v>
      </c>
      <c r="J703" t="s">
        <v>16</v>
      </c>
      <c r="K703" t="s">
        <v>17</v>
      </c>
    </row>
    <row r="704" spans="1:11" x14ac:dyDescent="0.35">
      <c r="A704" t="s">
        <v>745</v>
      </c>
      <c r="B704" s="1">
        <v>45621</v>
      </c>
      <c r="C704" t="s">
        <v>24</v>
      </c>
      <c r="D704" t="s">
        <v>35</v>
      </c>
      <c r="E704" t="s">
        <v>25</v>
      </c>
      <c r="F704" t="s">
        <v>48</v>
      </c>
      <c r="G704">
        <v>19</v>
      </c>
      <c r="H704">
        <v>34151</v>
      </c>
      <c r="I704">
        <v>648869</v>
      </c>
      <c r="J704" t="s">
        <v>27</v>
      </c>
      <c r="K704" t="s">
        <v>33</v>
      </c>
    </row>
    <row r="705" spans="1:11" x14ac:dyDescent="0.35">
      <c r="A705" t="s">
        <v>746</v>
      </c>
      <c r="B705" s="1">
        <v>45458</v>
      </c>
      <c r="C705" t="s">
        <v>12</v>
      </c>
      <c r="D705" t="s">
        <v>19</v>
      </c>
      <c r="E705" t="s">
        <v>30</v>
      </c>
      <c r="F705" t="s">
        <v>81</v>
      </c>
      <c r="G705">
        <v>16</v>
      </c>
      <c r="H705">
        <v>24666</v>
      </c>
      <c r="I705">
        <v>394656</v>
      </c>
      <c r="J705" t="s">
        <v>16</v>
      </c>
      <c r="K705" t="s">
        <v>17</v>
      </c>
    </row>
    <row r="706" spans="1:11" x14ac:dyDescent="0.35">
      <c r="A706" t="s">
        <v>747</v>
      </c>
      <c r="B706" s="1">
        <v>45624</v>
      </c>
      <c r="C706" t="s">
        <v>37</v>
      </c>
      <c r="D706" t="s">
        <v>19</v>
      </c>
      <c r="E706" t="s">
        <v>14</v>
      </c>
      <c r="F706" t="s">
        <v>20</v>
      </c>
      <c r="G706">
        <v>19</v>
      </c>
      <c r="H706">
        <v>30337</v>
      </c>
      <c r="I706">
        <v>576403</v>
      </c>
      <c r="J706" t="s">
        <v>21</v>
      </c>
      <c r="K706" t="s">
        <v>17</v>
      </c>
    </row>
    <row r="707" spans="1:11" x14ac:dyDescent="0.35">
      <c r="A707" t="s">
        <v>748</v>
      </c>
      <c r="B707" s="1">
        <v>45488</v>
      </c>
      <c r="C707" t="s">
        <v>12</v>
      </c>
      <c r="D707" t="s">
        <v>35</v>
      </c>
      <c r="E707" t="s">
        <v>39</v>
      </c>
      <c r="F707" t="s">
        <v>65</v>
      </c>
      <c r="G707">
        <v>14</v>
      </c>
      <c r="H707">
        <v>18157</v>
      </c>
      <c r="I707">
        <v>254198</v>
      </c>
      <c r="J707" t="s">
        <v>27</v>
      </c>
      <c r="K707" t="s">
        <v>22</v>
      </c>
    </row>
    <row r="708" spans="1:11" x14ac:dyDescent="0.35">
      <c r="A708" t="s">
        <v>749</v>
      </c>
      <c r="B708" s="1">
        <v>45595</v>
      </c>
      <c r="C708" t="s">
        <v>12</v>
      </c>
      <c r="D708" t="s">
        <v>38</v>
      </c>
      <c r="E708" t="s">
        <v>30</v>
      </c>
      <c r="F708" t="s">
        <v>31</v>
      </c>
      <c r="G708">
        <v>16</v>
      </c>
      <c r="H708">
        <v>20721</v>
      </c>
      <c r="I708">
        <v>331536</v>
      </c>
      <c r="J708" t="s">
        <v>16</v>
      </c>
      <c r="K708" t="s">
        <v>22</v>
      </c>
    </row>
    <row r="709" spans="1:11" x14ac:dyDescent="0.35">
      <c r="A709" t="s">
        <v>750</v>
      </c>
      <c r="B709" s="1">
        <v>45374</v>
      </c>
      <c r="C709" t="s">
        <v>29</v>
      </c>
      <c r="D709" t="s">
        <v>38</v>
      </c>
      <c r="E709" t="s">
        <v>14</v>
      </c>
      <c r="F709" t="s">
        <v>15</v>
      </c>
      <c r="G709">
        <v>2</v>
      </c>
      <c r="H709">
        <v>43241</v>
      </c>
      <c r="I709">
        <v>86482</v>
      </c>
      <c r="J709" t="s">
        <v>27</v>
      </c>
      <c r="K709" t="s">
        <v>17</v>
      </c>
    </row>
    <row r="710" spans="1:11" x14ac:dyDescent="0.35">
      <c r="A710" t="s">
        <v>751</v>
      </c>
      <c r="B710" s="1">
        <v>45544</v>
      </c>
      <c r="C710" t="s">
        <v>43</v>
      </c>
      <c r="D710" t="s">
        <v>38</v>
      </c>
      <c r="E710" t="s">
        <v>25</v>
      </c>
      <c r="F710" t="s">
        <v>58</v>
      </c>
      <c r="G710">
        <v>4</v>
      </c>
      <c r="H710">
        <v>18869</v>
      </c>
      <c r="I710">
        <v>75476</v>
      </c>
      <c r="J710" t="s">
        <v>27</v>
      </c>
      <c r="K710" t="s">
        <v>17</v>
      </c>
    </row>
    <row r="711" spans="1:11" x14ac:dyDescent="0.35">
      <c r="A711" t="s">
        <v>752</v>
      </c>
      <c r="B711" s="1">
        <v>45572</v>
      </c>
      <c r="C711" t="s">
        <v>29</v>
      </c>
      <c r="D711" t="s">
        <v>13</v>
      </c>
      <c r="E711" t="s">
        <v>25</v>
      </c>
      <c r="F711" t="s">
        <v>58</v>
      </c>
      <c r="G711">
        <v>16</v>
      </c>
      <c r="H711">
        <v>23474</v>
      </c>
      <c r="I711">
        <v>375584</v>
      </c>
      <c r="J711" t="s">
        <v>27</v>
      </c>
      <c r="K711" t="s">
        <v>17</v>
      </c>
    </row>
    <row r="712" spans="1:11" x14ac:dyDescent="0.35">
      <c r="A712" t="s">
        <v>753</v>
      </c>
      <c r="B712" s="1">
        <v>45450</v>
      </c>
      <c r="C712" t="s">
        <v>12</v>
      </c>
      <c r="D712" t="s">
        <v>35</v>
      </c>
      <c r="E712" t="s">
        <v>30</v>
      </c>
      <c r="F712" t="s">
        <v>81</v>
      </c>
      <c r="G712">
        <v>16</v>
      </c>
      <c r="H712">
        <v>40121</v>
      </c>
      <c r="I712">
        <v>641936</v>
      </c>
      <c r="J712" t="s">
        <v>32</v>
      </c>
      <c r="K712" t="s">
        <v>22</v>
      </c>
    </row>
    <row r="713" spans="1:11" x14ac:dyDescent="0.35">
      <c r="A713" t="s">
        <v>754</v>
      </c>
      <c r="B713" s="1">
        <v>45415</v>
      </c>
      <c r="C713" t="s">
        <v>37</v>
      </c>
      <c r="D713" t="s">
        <v>35</v>
      </c>
      <c r="E713" t="s">
        <v>30</v>
      </c>
      <c r="F713" t="s">
        <v>31</v>
      </c>
      <c r="G713">
        <v>20</v>
      </c>
      <c r="H713">
        <v>22494</v>
      </c>
      <c r="I713">
        <v>449880</v>
      </c>
      <c r="J713" t="s">
        <v>21</v>
      </c>
      <c r="K713" t="s">
        <v>22</v>
      </c>
    </row>
    <row r="714" spans="1:11" x14ac:dyDescent="0.35">
      <c r="A714" t="s">
        <v>755</v>
      </c>
      <c r="B714" s="1">
        <v>45293</v>
      </c>
      <c r="C714" t="s">
        <v>43</v>
      </c>
      <c r="D714" t="s">
        <v>13</v>
      </c>
      <c r="E714" t="s">
        <v>14</v>
      </c>
      <c r="F714" t="s">
        <v>62</v>
      </c>
      <c r="G714">
        <v>7</v>
      </c>
      <c r="H714">
        <v>46568</v>
      </c>
      <c r="I714">
        <v>325976</v>
      </c>
      <c r="J714" t="s">
        <v>32</v>
      </c>
      <c r="K714" t="s">
        <v>33</v>
      </c>
    </row>
    <row r="715" spans="1:11" x14ac:dyDescent="0.35">
      <c r="A715" t="s">
        <v>756</v>
      </c>
      <c r="B715" s="1">
        <v>45306</v>
      </c>
      <c r="C715" t="s">
        <v>43</v>
      </c>
      <c r="D715" t="s">
        <v>38</v>
      </c>
      <c r="E715" t="s">
        <v>39</v>
      </c>
      <c r="F715" t="s">
        <v>40</v>
      </c>
      <c r="G715">
        <v>9</v>
      </c>
      <c r="H715">
        <v>15449</v>
      </c>
      <c r="I715">
        <v>139041</v>
      </c>
      <c r="J715" t="s">
        <v>16</v>
      </c>
      <c r="K715" t="s">
        <v>17</v>
      </c>
    </row>
    <row r="716" spans="1:11" x14ac:dyDescent="0.35">
      <c r="A716" t="s">
        <v>757</v>
      </c>
      <c r="B716" s="1">
        <v>45653</v>
      </c>
      <c r="C716" t="s">
        <v>37</v>
      </c>
      <c r="D716" t="s">
        <v>13</v>
      </c>
      <c r="E716" t="s">
        <v>25</v>
      </c>
      <c r="F716" t="s">
        <v>26</v>
      </c>
      <c r="G716">
        <v>20</v>
      </c>
      <c r="H716">
        <v>37800</v>
      </c>
      <c r="I716">
        <v>756000</v>
      </c>
      <c r="J716" t="s">
        <v>27</v>
      </c>
      <c r="K716" t="s">
        <v>22</v>
      </c>
    </row>
    <row r="717" spans="1:11" x14ac:dyDescent="0.35">
      <c r="A717" t="s">
        <v>758</v>
      </c>
      <c r="B717" s="1">
        <v>45325</v>
      </c>
      <c r="C717" t="s">
        <v>12</v>
      </c>
      <c r="D717" t="s">
        <v>13</v>
      </c>
      <c r="E717" t="s">
        <v>25</v>
      </c>
      <c r="F717" t="s">
        <v>58</v>
      </c>
      <c r="G717">
        <v>10</v>
      </c>
      <c r="H717">
        <v>11660</v>
      </c>
      <c r="I717">
        <v>116600</v>
      </c>
      <c r="J717" t="s">
        <v>21</v>
      </c>
      <c r="K717" t="s">
        <v>22</v>
      </c>
    </row>
    <row r="718" spans="1:11" x14ac:dyDescent="0.35">
      <c r="A718" t="s">
        <v>759</v>
      </c>
      <c r="B718" s="1">
        <v>45646</v>
      </c>
      <c r="C718" t="s">
        <v>24</v>
      </c>
      <c r="D718" t="s">
        <v>38</v>
      </c>
      <c r="E718" t="s">
        <v>25</v>
      </c>
      <c r="F718" t="s">
        <v>26</v>
      </c>
      <c r="G718">
        <v>4</v>
      </c>
      <c r="H718">
        <v>37458</v>
      </c>
      <c r="I718">
        <v>149832</v>
      </c>
      <c r="J718" t="s">
        <v>27</v>
      </c>
      <c r="K718" t="s">
        <v>17</v>
      </c>
    </row>
    <row r="719" spans="1:11" x14ac:dyDescent="0.35">
      <c r="A719" t="s">
        <v>760</v>
      </c>
      <c r="B719" s="1">
        <v>45521</v>
      </c>
      <c r="C719" t="s">
        <v>37</v>
      </c>
      <c r="D719" t="s">
        <v>19</v>
      </c>
      <c r="E719" t="s">
        <v>25</v>
      </c>
      <c r="F719" t="s">
        <v>58</v>
      </c>
      <c r="G719">
        <v>8</v>
      </c>
      <c r="H719">
        <v>23627</v>
      </c>
      <c r="I719">
        <v>189016</v>
      </c>
      <c r="J719" t="s">
        <v>21</v>
      </c>
      <c r="K719" t="s">
        <v>22</v>
      </c>
    </row>
    <row r="720" spans="1:11" x14ac:dyDescent="0.35">
      <c r="A720" t="s">
        <v>761</v>
      </c>
      <c r="B720" s="1">
        <v>45449</v>
      </c>
      <c r="C720" t="s">
        <v>29</v>
      </c>
      <c r="D720" t="s">
        <v>19</v>
      </c>
      <c r="E720" t="s">
        <v>30</v>
      </c>
      <c r="F720" t="s">
        <v>31</v>
      </c>
      <c r="G720">
        <v>15</v>
      </c>
      <c r="H720">
        <v>9366</v>
      </c>
      <c r="I720">
        <v>140490</v>
      </c>
      <c r="J720" t="s">
        <v>27</v>
      </c>
      <c r="K720" t="s">
        <v>33</v>
      </c>
    </row>
    <row r="721" spans="1:11" x14ac:dyDescent="0.35">
      <c r="A721" t="s">
        <v>762</v>
      </c>
      <c r="B721" s="1">
        <v>45409</v>
      </c>
      <c r="C721" t="s">
        <v>24</v>
      </c>
      <c r="D721" t="s">
        <v>13</v>
      </c>
      <c r="E721" t="s">
        <v>30</v>
      </c>
      <c r="F721" t="s">
        <v>31</v>
      </c>
      <c r="G721">
        <v>6</v>
      </c>
      <c r="H721">
        <v>16895</v>
      </c>
      <c r="I721">
        <v>101370</v>
      </c>
      <c r="J721" t="s">
        <v>32</v>
      </c>
      <c r="K721" t="s">
        <v>17</v>
      </c>
    </row>
    <row r="722" spans="1:11" x14ac:dyDescent="0.35">
      <c r="A722" t="s">
        <v>763</v>
      </c>
      <c r="B722" s="1">
        <v>45633</v>
      </c>
      <c r="C722" t="s">
        <v>29</v>
      </c>
      <c r="D722" t="s">
        <v>38</v>
      </c>
      <c r="E722" t="s">
        <v>39</v>
      </c>
      <c r="F722" t="s">
        <v>40</v>
      </c>
      <c r="G722">
        <v>4</v>
      </c>
      <c r="H722">
        <v>21657</v>
      </c>
      <c r="I722">
        <v>86628</v>
      </c>
      <c r="J722" t="s">
        <v>27</v>
      </c>
      <c r="K722" t="s">
        <v>33</v>
      </c>
    </row>
    <row r="723" spans="1:11" x14ac:dyDescent="0.35">
      <c r="A723" t="s">
        <v>764</v>
      </c>
      <c r="B723" s="1">
        <v>45522</v>
      </c>
      <c r="C723" t="s">
        <v>43</v>
      </c>
      <c r="D723" t="s">
        <v>19</v>
      </c>
      <c r="E723" t="s">
        <v>25</v>
      </c>
      <c r="F723" t="s">
        <v>48</v>
      </c>
      <c r="G723">
        <v>2</v>
      </c>
      <c r="H723">
        <v>32907</v>
      </c>
      <c r="I723">
        <v>65814</v>
      </c>
      <c r="J723" t="s">
        <v>16</v>
      </c>
      <c r="K723" t="s">
        <v>22</v>
      </c>
    </row>
    <row r="724" spans="1:11" x14ac:dyDescent="0.35">
      <c r="A724" t="s">
        <v>765</v>
      </c>
      <c r="B724" s="1">
        <v>45496</v>
      </c>
      <c r="C724" t="s">
        <v>43</v>
      </c>
      <c r="D724" t="s">
        <v>38</v>
      </c>
      <c r="E724" t="s">
        <v>30</v>
      </c>
      <c r="F724" t="s">
        <v>81</v>
      </c>
      <c r="G724">
        <v>19</v>
      </c>
      <c r="H724">
        <v>31641</v>
      </c>
      <c r="I724">
        <v>601179</v>
      </c>
      <c r="J724" t="s">
        <v>16</v>
      </c>
      <c r="K724" t="s">
        <v>17</v>
      </c>
    </row>
    <row r="725" spans="1:11" x14ac:dyDescent="0.35">
      <c r="A725" t="s">
        <v>766</v>
      </c>
      <c r="B725" s="1">
        <v>45294</v>
      </c>
      <c r="C725" t="s">
        <v>29</v>
      </c>
      <c r="D725" t="s">
        <v>38</v>
      </c>
      <c r="E725" t="s">
        <v>14</v>
      </c>
      <c r="F725" t="s">
        <v>62</v>
      </c>
      <c r="G725">
        <v>3</v>
      </c>
      <c r="H725">
        <v>26235</v>
      </c>
      <c r="I725">
        <v>78705</v>
      </c>
      <c r="J725" t="s">
        <v>27</v>
      </c>
      <c r="K725" t="s">
        <v>22</v>
      </c>
    </row>
    <row r="726" spans="1:11" x14ac:dyDescent="0.35">
      <c r="A726" t="s">
        <v>767</v>
      </c>
      <c r="B726" s="1">
        <v>45401</v>
      </c>
      <c r="C726" t="s">
        <v>12</v>
      </c>
      <c r="D726" t="s">
        <v>35</v>
      </c>
      <c r="E726" t="s">
        <v>39</v>
      </c>
      <c r="F726" t="s">
        <v>55</v>
      </c>
      <c r="G726">
        <v>19</v>
      </c>
      <c r="H726">
        <v>25051</v>
      </c>
      <c r="I726">
        <v>475969</v>
      </c>
      <c r="J726" t="s">
        <v>16</v>
      </c>
      <c r="K726" t="s">
        <v>17</v>
      </c>
    </row>
    <row r="727" spans="1:11" x14ac:dyDescent="0.35">
      <c r="A727" t="s">
        <v>768</v>
      </c>
      <c r="B727" s="1">
        <v>45406</v>
      </c>
      <c r="C727" t="s">
        <v>12</v>
      </c>
      <c r="D727" t="s">
        <v>19</v>
      </c>
      <c r="E727" t="s">
        <v>25</v>
      </c>
      <c r="F727" t="s">
        <v>58</v>
      </c>
      <c r="G727">
        <v>15</v>
      </c>
      <c r="H727">
        <v>26033</v>
      </c>
      <c r="I727">
        <v>390495</v>
      </c>
      <c r="J727" t="s">
        <v>27</v>
      </c>
      <c r="K727" t="s">
        <v>17</v>
      </c>
    </row>
    <row r="728" spans="1:11" x14ac:dyDescent="0.35">
      <c r="A728" t="s">
        <v>769</v>
      </c>
      <c r="B728" s="1">
        <v>45568</v>
      </c>
      <c r="C728" t="s">
        <v>29</v>
      </c>
      <c r="D728" t="s">
        <v>13</v>
      </c>
      <c r="E728" t="s">
        <v>14</v>
      </c>
      <c r="F728" t="s">
        <v>15</v>
      </c>
      <c r="G728">
        <v>4</v>
      </c>
      <c r="H728">
        <v>19579</v>
      </c>
      <c r="I728">
        <v>78316</v>
      </c>
      <c r="J728" t="s">
        <v>27</v>
      </c>
      <c r="K728" t="s">
        <v>33</v>
      </c>
    </row>
    <row r="729" spans="1:11" x14ac:dyDescent="0.35">
      <c r="A729" t="s">
        <v>770</v>
      </c>
      <c r="B729" s="1">
        <v>45639</v>
      </c>
      <c r="C729" t="s">
        <v>12</v>
      </c>
      <c r="D729" t="s">
        <v>19</v>
      </c>
      <c r="E729" t="s">
        <v>39</v>
      </c>
      <c r="F729" t="s">
        <v>40</v>
      </c>
      <c r="G729">
        <v>10</v>
      </c>
      <c r="H729">
        <v>31601</v>
      </c>
      <c r="I729">
        <v>316010</v>
      </c>
      <c r="J729" t="s">
        <v>27</v>
      </c>
      <c r="K729" t="s">
        <v>22</v>
      </c>
    </row>
    <row r="730" spans="1:11" x14ac:dyDescent="0.35">
      <c r="A730" t="s">
        <v>771</v>
      </c>
      <c r="B730" s="1">
        <v>45522</v>
      </c>
      <c r="C730" t="s">
        <v>24</v>
      </c>
      <c r="D730" t="s">
        <v>19</v>
      </c>
      <c r="E730" t="s">
        <v>25</v>
      </c>
      <c r="F730" t="s">
        <v>48</v>
      </c>
      <c r="G730">
        <v>9</v>
      </c>
      <c r="H730">
        <v>42264</v>
      </c>
      <c r="I730">
        <v>380376</v>
      </c>
      <c r="J730" t="s">
        <v>32</v>
      </c>
      <c r="K730" t="s">
        <v>22</v>
      </c>
    </row>
    <row r="731" spans="1:11" x14ac:dyDescent="0.35">
      <c r="A731" t="s">
        <v>772</v>
      </c>
      <c r="B731" s="1">
        <v>45543</v>
      </c>
      <c r="C731" t="s">
        <v>24</v>
      </c>
      <c r="D731" t="s">
        <v>13</v>
      </c>
      <c r="E731" t="s">
        <v>25</v>
      </c>
      <c r="F731" t="s">
        <v>26</v>
      </c>
      <c r="G731">
        <v>16</v>
      </c>
      <c r="H731">
        <v>4982</v>
      </c>
      <c r="I731">
        <v>79712</v>
      </c>
      <c r="J731" t="s">
        <v>32</v>
      </c>
      <c r="K731" t="s">
        <v>17</v>
      </c>
    </row>
    <row r="732" spans="1:11" x14ac:dyDescent="0.35">
      <c r="A732" t="s">
        <v>773</v>
      </c>
      <c r="B732" s="1">
        <v>45500</v>
      </c>
      <c r="C732" t="s">
        <v>43</v>
      </c>
      <c r="D732" t="s">
        <v>38</v>
      </c>
      <c r="E732" t="s">
        <v>25</v>
      </c>
      <c r="F732" t="s">
        <v>48</v>
      </c>
      <c r="G732">
        <v>7</v>
      </c>
      <c r="H732">
        <v>43250</v>
      </c>
      <c r="I732">
        <v>302750</v>
      </c>
      <c r="J732" t="s">
        <v>21</v>
      </c>
      <c r="K732" t="s">
        <v>22</v>
      </c>
    </row>
    <row r="733" spans="1:11" x14ac:dyDescent="0.35">
      <c r="A733" t="s">
        <v>774</v>
      </c>
      <c r="B733" s="1">
        <v>45547</v>
      </c>
      <c r="C733" t="s">
        <v>43</v>
      </c>
      <c r="D733" t="s">
        <v>38</v>
      </c>
      <c r="E733" t="s">
        <v>14</v>
      </c>
      <c r="F733" t="s">
        <v>62</v>
      </c>
      <c r="G733">
        <v>16</v>
      </c>
      <c r="H733">
        <v>35759</v>
      </c>
      <c r="I733">
        <v>572144</v>
      </c>
      <c r="J733" t="s">
        <v>27</v>
      </c>
      <c r="K733" t="s">
        <v>33</v>
      </c>
    </row>
    <row r="734" spans="1:11" x14ac:dyDescent="0.35">
      <c r="A734" t="s">
        <v>775</v>
      </c>
      <c r="B734" s="1">
        <v>45491</v>
      </c>
      <c r="C734" t="s">
        <v>12</v>
      </c>
      <c r="D734" t="s">
        <v>35</v>
      </c>
      <c r="E734" t="s">
        <v>14</v>
      </c>
      <c r="F734" t="s">
        <v>20</v>
      </c>
      <c r="G734">
        <v>7</v>
      </c>
      <c r="H734">
        <v>23855</v>
      </c>
      <c r="I734">
        <v>166985</v>
      </c>
      <c r="J734" t="s">
        <v>21</v>
      </c>
      <c r="K734" t="s">
        <v>17</v>
      </c>
    </row>
    <row r="735" spans="1:11" x14ac:dyDescent="0.35">
      <c r="A735" t="s">
        <v>776</v>
      </c>
      <c r="B735" s="1">
        <v>45348</v>
      </c>
      <c r="C735" t="s">
        <v>12</v>
      </c>
      <c r="D735" t="s">
        <v>13</v>
      </c>
      <c r="E735" t="s">
        <v>14</v>
      </c>
      <c r="F735" t="s">
        <v>15</v>
      </c>
      <c r="G735">
        <v>3</v>
      </c>
      <c r="H735">
        <v>22002</v>
      </c>
      <c r="I735">
        <v>66006</v>
      </c>
      <c r="J735" t="s">
        <v>27</v>
      </c>
      <c r="K735" t="s">
        <v>33</v>
      </c>
    </row>
    <row r="736" spans="1:11" x14ac:dyDescent="0.35">
      <c r="A736" t="s">
        <v>777</v>
      </c>
      <c r="B736" s="1">
        <v>45391</v>
      </c>
      <c r="C736" t="s">
        <v>12</v>
      </c>
      <c r="D736" t="s">
        <v>19</v>
      </c>
      <c r="E736" t="s">
        <v>25</v>
      </c>
      <c r="F736" t="s">
        <v>26</v>
      </c>
      <c r="G736">
        <v>1</v>
      </c>
      <c r="H736">
        <v>29786</v>
      </c>
      <c r="I736">
        <v>29786</v>
      </c>
      <c r="J736" t="s">
        <v>27</v>
      </c>
      <c r="K736" t="s">
        <v>33</v>
      </c>
    </row>
    <row r="737" spans="1:11" x14ac:dyDescent="0.35">
      <c r="A737" t="s">
        <v>778</v>
      </c>
      <c r="B737" s="1">
        <v>45469</v>
      </c>
      <c r="C737" t="s">
        <v>12</v>
      </c>
      <c r="D737" t="s">
        <v>19</v>
      </c>
      <c r="E737" t="s">
        <v>14</v>
      </c>
      <c r="F737" t="s">
        <v>15</v>
      </c>
      <c r="G737">
        <v>9</v>
      </c>
      <c r="H737">
        <v>31156</v>
      </c>
      <c r="I737">
        <v>280404</v>
      </c>
      <c r="J737" t="s">
        <v>32</v>
      </c>
      <c r="K737" t="s">
        <v>22</v>
      </c>
    </row>
    <row r="738" spans="1:11" x14ac:dyDescent="0.35">
      <c r="A738" t="s">
        <v>779</v>
      </c>
      <c r="B738" s="1">
        <v>45597</v>
      </c>
      <c r="C738" t="s">
        <v>12</v>
      </c>
      <c r="D738" t="s">
        <v>19</v>
      </c>
      <c r="E738" t="s">
        <v>30</v>
      </c>
      <c r="F738" t="s">
        <v>44</v>
      </c>
      <c r="G738">
        <v>5</v>
      </c>
      <c r="H738">
        <v>37941</v>
      </c>
      <c r="I738">
        <v>189705</v>
      </c>
      <c r="J738" t="s">
        <v>27</v>
      </c>
      <c r="K738" t="s">
        <v>33</v>
      </c>
    </row>
    <row r="739" spans="1:11" x14ac:dyDescent="0.35">
      <c r="A739" t="s">
        <v>780</v>
      </c>
      <c r="B739" s="1">
        <v>45383</v>
      </c>
      <c r="C739" t="s">
        <v>12</v>
      </c>
      <c r="D739" t="s">
        <v>13</v>
      </c>
      <c r="E739" t="s">
        <v>39</v>
      </c>
      <c r="F739" t="s">
        <v>55</v>
      </c>
      <c r="G739">
        <v>7</v>
      </c>
      <c r="H739">
        <v>17874</v>
      </c>
      <c r="I739">
        <v>125118</v>
      </c>
      <c r="J739" t="s">
        <v>32</v>
      </c>
      <c r="K739" t="s">
        <v>33</v>
      </c>
    </row>
    <row r="740" spans="1:11" x14ac:dyDescent="0.35">
      <c r="A740" t="s">
        <v>781</v>
      </c>
      <c r="B740" s="1">
        <v>45569</v>
      </c>
      <c r="C740" t="s">
        <v>37</v>
      </c>
      <c r="D740" t="s">
        <v>35</v>
      </c>
      <c r="E740" t="s">
        <v>14</v>
      </c>
      <c r="F740" t="s">
        <v>20</v>
      </c>
      <c r="G740">
        <v>19</v>
      </c>
      <c r="H740">
        <v>36008</v>
      </c>
      <c r="I740">
        <v>684152</v>
      </c>
      <c r="J740" t="s">
        <v>21</v>
      </c>
      <c r="K740" t="s">
        <v>17</v>
      </c>
    </row>
    <row r="741" spans="1:11" x14ac:dyDescent="0.35">
      <c r="A741" t="s">
        <v>782</v>
      </c>
      <c r="B741" s="1">
        <v>45617</v>
      </c>
      <c r="C741" t="s">
        <v>29</v>
      </c>
      <c r="D741" t="s">
        <v>13</v>
      </c>
      <c r="E741" t="s">
        <v>14</v>
      </c>
      <c r="F741" t="s">
        <v>15</v>
      </c>
      <c r="G741">
        <v>18</v>
      </c>
      <c r="H741">
        <v>12319</v>
      </c>
      <c r="I741">
        <v>221742</v>
      </c>
      <c r="J741" t="s">
        <v>27</v>
      </c>
      <c r="K741" t="s">
        <v>17</v>
      </c>
    </row>
    <row r="742" spans="1:11" x14ac:dyDescent="0.35">
      <c r="A742" t="s">
        <v>783</v>
      </c>
      <c r="B742" s="1">
        <v>45597</v>
      </c>
      <c r="C742" t="s">
        <v>37</v>
      </c>
      <c r="D742" t="s">
        <v>38</v>
      </c>
      <c r="E742" t="s">
        <v>14</v>
      </c>
      <c r="F742" t="s">
        <v>20</v>
      </c>
      <c r="G742">
        <v>5</v>
      </c>
      <c r="H742">
        <v>16660</v>
      </c>
      <c r="I742">
        <v>83300</v>
      </c>
      <c r="J742" t="s">
        <v>16</v>
      </c>
      <c r="K742" t="s">
        <v>33</v>
      </c>
    </row>
    <row r="743" spans="1:11" x14ac:dyDescent="0.35">
      <c r="A743" t="s">
        <v>784</v>
      </c>
      <c r="B743" s="1">
        <v>45307</v>
      </c>
      <c r="C743" t="s">
        <v>29</v>
      </c>
      <c r="D743" t="s">
        <v>35</v>
      </c>
      <c r="E743" t="s">
        <v>39</v>
      </c>
      <c r="F743" t="s">
        <v>65</v>
      </c>
      <c r="G743">
        <v>14</v>
      </c>
      <c r="H743">
        <v>14950</v>
      </c>
      <c r="I743">
        <v>209300</v>
      </c>
      <c r="J743" t="s">
        <v>21</v>
      </c>
      <c r="K743" t="s">
        <v>17</v>
      </c>
    </row>
    <row r="744" spans="1:11" x14ac:dyDescent="0.35">
      <c r="A744" t="s">
        <v>785</v>
      </c>
      <c r="B744" s="1">
        <v>45516</v>
      </c>
      <c r="C744" t="s">
        <v>24</v>
      </c>
      <c r="D744" t="s">
        <v>13</v>
      </c>
      <c r="E744" t="s">
        <v>25</v>
      </c>
      <c r="F744" t="s">
        <v>26</v>
      </c>
      <c r="G744">
        <v>20</v>
      </c>
      <c r="H744">
        <v>22960</v>
      </c>
      <c r="I744">
        <v>459200</v>
      </c>
      <c r="J744" t="s">
        <v>32</v>
      </c>
      <c r="K744" t="s">
        <v>33</v>
      </c>
    </row>
    <row r="745" spans="1:11" x14ac:dyDescent="0.35">
      <c r="A745" t="s">
        <v>786</v>
      </c>
      <c r="B745" s="1">
        <v>45419</v>
      </c>
      <c r="C745" t="s">
        <v>29</v>
      </c>
      <c r="D745" t="s">
        <v>35</v>
      </c>
      <c r="E745" t="s">
        <v>14</v>
      </c>
      <c r="F745" t="s">
        <v>62</v>
      </c>
      <c r="G745">
        <v>10</v>
      </c>
      <c r="H745">
        <v>9819</v>
      </c>
      <c r="I745">
        <v>98190</v>
      </c>
      <c r="J745" t="s">
        <v>21</v>
      </c>
      <c r="K745" t="s">
        <v>33</v>
      </c>
    </row>
    <row r="746" spans="1:11" x14ac:dyDescent="0.35">
      <c r="A746" t="s">
        <v>787</v>
      </c>
      <c r="B746" s="1">
        <v>45578</v>
      </c>
      <c r="C746" t="s">
        <v>29</v>
      </c>
      <c r="D746" t="s">
        <v>35</v>
      </c>
      <c r="E746" t="s">
        <v>25</v>
      </c>
      <c r="F746" t="s">
        <v>26</v>
      </c>
      <c r="G746">
        <v>4</v>
      </c>
      <c r="H746">
        <v>20520</v>
      </c>
      <c r="I746">
        <v>82080</v>
      </c>
      <c r="J746" t="s">
        <v>32</v>
      </c>
      <c r="K746" t="s">
        <v>17</v>
      </c>
    </row>
    <row r="747" spans="1:11" x14ac:dyDescent="0.35">
      <c r="A747" t="s">
        <v>788</v>
      </c>
      <c r="B747" s="1">
        <v>45293</v>
      </c>
      <c r="C747" t="s">
        <v>12</v>
      </c>
      <c r="D747" t="s">
        <v>35</v>
      </c>
      <c r="E747" t="s">
        <v>39</v>
      </c>
      <c r="F747" t="s">
        <v>40</v>
      </c>
      <c r="G747">
        <v>11</v>
      </c>
      <c r="H747">
        <v>32368</v>
      </c>
      <c r="I747">
        <v>356048</v>
      </c>
      <c r="J747" t="s">
        <v>16</v>
      </c>
      <c r="K747" t="s">
        <v>17</v>
      </c>
    </row>
    <row r="748" spans="1:11" x14ac:dyDescent="0.35">
      <c r="A748" t="s">
        <v>789</v>
      </c>
      <c r="B748" s="1">
        <v>45506</v>
      </c>
      <c r="C748" t="s">
        <v>24</v>
      </c>
      <c r="D748" t="s">
        <v>38</v>
      </c>
      <c r="E748" t="s">
        <v>30</v>
      </c>
      <c r="F748" t="s">
        <v>81</v>
      </c>
      <c r="G748">
        <v>6</v>
      </c>
      <c r="H748">
        <v>37552</v>
      </c>
      <c r="I748">
        <v>225312</v>
      </c>
      <c r="J748" t="s">
        <v>32</v>
      </c>
      <c r="K748" t="s">
        <v>22</v>
      </c>
    </row>
    <row r="749" spans="1:11" x14ac:dyDescent="0.35">
      <c r="A749" t="s">
        <v>790</v>
      </c>
      <c r="B749" s="1">
        <v>45508</v>
      </c>
      <c r="C749" t="s">
        <v>24</v>
      </c>
      <c r="D749" t="s">
        <v>38</v>
      </c>
      <c r="E749" t="s">
        <v>25</v>
      </c>
      <c r="F749" t="s">
        <v>48</v>
      </c>
      <c r="G749">
        <v>19</v>
      </c>
      <c r="H749">
        <v>19504</v>
      </c>
      <c r="I749">
        <v>370576</v>
      </c>
      <c r="J749" t="s">
        <v>27</v>
      </c>
      <c r="K749" t="s">
        <v>22</v>
      </c>
    </row>
    <row r="750" spans="1:11" x14ac:dyDescent="0.35">
      <c r="A750" t="s">
        <v>791</v>
      </c>
      <c r="B750" s="1">
        <v>45548</v>
      </c>
      <c r="C750" t="s">
        <v>12</v>
      </c>
      <c r="D750" t="s">
        <v>19</v>
      </c>
      <c r="E750" t="s">
        <v>25</v>
      </c>
      <c r="F750" t="s">
        <v>26</v>
      </c>
      <c r="G750">
        <v>8</v>
      </c>
      <c r="H750">
        <v>5158</v>
      </c>
      <c r="I750">
        <v>41264</v>
      </c>
      <c r="J750" t="s">
        <v>16</v>
      </c>
      <c r="K750" t="s">
        <v>33</v>
      </c>
    </row>
    <row r="751" spans="1:11" x14ac:dyDescent="0.35">
      <c r="A751" t="s">
        <v>792</v>
      </c>
      <c r="B751" s="1">
        <v>45417</v>
      </c>
      <c r="C751" t="s">
        <v>29</v>
      </c>
      <c r="D751" t="s">
        <v>19</v>
      </c>
      <c r="E751" t="s">
        <v>30</v>
      </c>
      <c r="F751" t="s">
        <v>81</v>
      </c>
      <c r="G751">
        <v>10</v>
      </c>
      <c r="H751">
        <v>19866</v>
      </c>
      <c r="I751">
        <v>198660</v>
      </c>
      <c r="J751" t="s">
        <v>32</v>
      </c>
      <c r="K751" t="s">
        <v>22</v>
      </c>
    </row>
    <row r="752" spans="1:11" x14ac:dyDescent="0.35">
      <c r="A752" t="s">
        <v>793</v>
      </c>
      <c r="B752" s="1">
        <v>45353</v>
      </c>
      <c r="C752" t="s">
        <v>29</v>
      </c>
      <c r="D752" t="s">
        <v>19</v>
      </c>
      <c r="E752" t="s">
        <v>14</v>
      </c>
      <c r="F752" t="s">
        <v>15</v>
      </c>
      <c r="G752">
        <v>20</v>
      </c>
      <c r="H752">
        <v>11569</v>
      </c>
      <c r="I752">
        <v>231380</v>
      </c>
      <c r="J752" t="s">
        <v>27</v>
      </c>
      <c r="K752" t="s">
        <v>17</v>
      </c>
    </row>
    <row r="753" spans="1:11" x14ac:dyDescent="0.35">
      <c r="A753" t="s">
        <v>794</v>
      </c>
      <c r="B753" s="1">
        <v>45625</v>
      </c>
      <c r="C753" t="s">
        <v>43</v>
      </c>
      <c r="D753" t="s">
        <v>19</v>
      </c>
      <c r="E753" t="s">
        <v>25</v>
      </c>
      <c r="F753" t="s">
        <v>58</v>
      </c>
      <c r="G753">
        <v>6</v>
      </c>
      <c r="H753">
        <v>42933</v>
      </c>
      <c r="I753">
        <v>257598</v>
      </c>
      <c r="J753" t="s">
        <v>16</v>
      </c>
      <c r="K753" t="s">
        <v>22</v>
      </c>
    </row>
    <row r="754" spans="1:11" x14ac:dyDescent="0.35">
      <c r="A754" t="s">
        <v>795</v>
      </c>
      <c r="B754" s="1">
        <v>45620</v>
      </c>
      <c r="C754" t="s">
        <v>43</v>
      </c>
      <c r="D754" t="s">
        <v>38</v>
      </c>
      <c r="E754" t="s">
        <v>14</v>
      </c>
      <c r="F754" t="s">
        <v>62</v>
      </c>
      <c r="G754">
        <v>4</v>
      </c>
      <c r="H754">
        <v>13610</v>
      </c>
      <c r="I754">
        <v>54440</v>
      </c>
      <c r="J754" t="s">
        <v>32</v>
      </c>
      <c r="K754" t="s">
        <v>17</v>
      </c>
    </row>
    <row r="755" spans="1:11" x14ac:dyDescent="0.35">
      <c r="A755" t="s">
        <v>796</v>
      </c>
      <c r="B755" s="1">
        <v>45320</v>
      </c>
      <c r="C755" t="s">
        <v>37</v>
      </c>
      <c r="D755" t="s">
        <v>35</v>
      </c>
      <c r="E755" t="s">
        <v>25</v>
      </c>
      <c r="F755" t="s">
        <v>26</v>
      </c>
      <c r="G755">
        <v>14</v>
      </c>
      <c r="H755">
        <v>24057</v>
      </c>
      <c r="I755">
        <v>336798</v>
      </c>
      <c r="J755" t="s">
        <v>32</v>
      </c>
      <c r="K755" t="s">
        <v>33</v>
      </c>
    </row>
    <row r="756" spans="1:11" x14ac:dyDescent="0.35">
      <c r="A756" t="s">
        <v>797</v>
      </c>
      <c r="B756" s="1">
        <v>45410</v>
      </c>
      <c r="C756" t="s">
        <v>29</v>
      </c>
      <c r="D756" t="s">
        <v>38</v>
      </c>
      <c r="E756" t="s">
        <v>25</v>
      </c>
      <c r="F756" t="s">
        <v>48</v>
      </c>
      <c r="G756">
        <v>19</v>
      </c>
      <c r="H756">
        <v>31235</v>
      </c>
      <c r="I756">
        <v>593465</v>
      </c>
      <c r="J756" t="s">
        <v>16</v>
      </c>
      <c r="K756" t="s">
        <v>33</v>
      </c>
    </row>
    <row r="757" spans="1:11" x14ac:dyDescent="0.35">
      <c r="A757" t="s">
        <v>798</v>
      </c>
      <c r="B757" s="1">
        <v>45334</v>
      </c>
      <c r="C757" t="s">
        <v>37</v>
      </c>
      <c r="D757" t="s">
        <v>35</v>
      </c>
      <c r="E757" t="s">
        <v>39</v>
      </c>
      <c r="F757" t="s">
        <v>65</v>
      </c>
      <c r="G757">
        <v>10</v>
      </c>
      <c r="H757">
        <v>25756</v>
      </c>
      <c r="I757">
        <v>257560</v>
      </c>
      <c r="J757" t="s">
        <v>32</v>
      </c>
      <c r="K757" t="s">
        <v>33</v>
      </c>
    </row>
    <row r="758" spans="1:11" x14ac:dyDescent="0.35">
      <c r="A758" t="s">
        <v>799</v>
      </c>
      <c r="B758" s="1">
        <v>45456</v>
      </c>
      <c r="C758" t="s">
        <v>37</v>
      </c>
      <c r="D758" t="s">
        <v>35</v>
      </c>
      <c r="E758" t="s">
        <v>39</v>
      </c>
      <c r="F758" t="s">
        <v>55</v>
      </c>
      <c r="G758">
        <v>11</v>
      </c>
      <c r="H758">
        <v>3464</v>
      </c>
      <c r="I758">
        <v>38104</v>
      </c>
      <c r="J758" t="s">
        <v>27</v>
      </c>
      <c r="K758" t="s">
        <v>33</v>
      </c>
    </row>
    <row r="759" spans="1:11" x14ac:dyDescent="0.35">
      <c r="A759" t="s">
        <v>800</v>
      </c>
      <c r="B759" s="1">
        <v>45473</v>
      </c>
      <c r="C759" t="s">
        <v>43</v>
      </c>
      <c r="D759" t="s">
        <v>19</v>
      </c>
      <c r="E759" t="s">
        <v>25</v>
      </c>
      <c r="F759" t="s">
        <v>26</v>
      </c>
      <c r="G759">
        <v>9</v>
      </c>
      <c r="H759">
        <v>9210</v>
      </c>
      <c r="I759">
        <v>82890</v>
      </c>
      <c r="J759" t="s">
        <v>21</v>
      </c>
      <c r="K759" t="s">
        <v>33</v>
      </c>
    </row>
    <row r="760" spans="1:11" x14ac:dyDescent="0.35">
      <c r="A760" t="s">
        <v>801</v>
      </c>
      <c r="B760" s="1">
        <v>45360</v>
      </c>
      <c r="C760" t="s">
        <v>29</v>
      </c>
      <c r="D760" t="s">
        <v>19</v>
      </c>
      <c r="E760" t="s">
        <v>39</v>
      </c>
      <c r="F760" t="s">
        <v>55</v>
      </c>
      <c r="G760">
        <v>1</v>
      </c>
      <c r="H760">
        <v>14395</v>
      </c>
      <c r="I760">
        <v>14395</v>
      </c>
      <c r="J760" t="s">
        <v>32</v>
      </c>
      <c r="K760" t="s">
        <v>22</v>
      </c>
    </row>
    <row r="761" spans="1:11" x14ac:dyDescent="0.35">
      <c r="A761" t="s">
        <v>802</v>
      </c>
      <c r="B761" s="1">
        <v>45303</v>
      </c>
      <c r="C761" t="s">
        <v>37</v>
      </c>
      <c r="D761" t="s">
        <v>13</v>
      </c>
      <c r="E761" t="s">
        <v>30</v>
      </c>
      <c r="F761" t="s">
        <v>81</v>
      </c>
      <c r="G761">
        <v>10</v>
      </c>
      <c r="H761">
        <v>49405</v>
      </c>
      <c r="I761">
        <v>494050</v>
      </c>
      <c r="J761" t="s">
        <v>16</v>
      </c>
      <c r="K761" t="s">
        <v>17</v>
      </c>
    </row>
    <row r="762" spans="1:11" x14ac:dyDescent="0.35">
      <c r="A762" t="s">
        <v>803</v>
      </c>
      <c r="B762" s="1">
        <v>45579</v>
      </c>
      <c r="C762" t="s">
        <v>12</v>
      </c>
      <c r="D762" t="s">
        <v>35</v>
      </c>
      <c r="E762" t="s">
        <v>30</v>
      </c>
      <c r="F762" t="s">
        <v>81</v>
      </c>
      <c r="G762">
        <v>11</v>
      </c>
      <c r="H762">
        <v>26791</v>
      </c>
      <c r="I762">
        <v>294701</v>
      </c>
      <c r="J762" t="s">
        <v>16</v>
      </c>
      <c r="K762" t="s">
        <v>17</v>
      </c>
    </row>
    <row r="763" spans="1:11" x14ac:dyDescent="0.35">
      <c r="A763" t="s">
        <v>804</v>
      </c>
      <c r="B763" s="1">
        <v>45391</v>
      </c>
      <c r="C763" t="s">
        <v>12</v>
      </c>
      <c r="D763" t="s">
        <v>19</v>
      </c>
      <c r="E763" t="s">
        <v>39</v>
      </c>
      <c r="F763" t="s">
        <v>55</v>
      </c>
      <c r="G763">
        <v>5</v>
      </c>
      <c r="H763">
        <v>45241</v>
      </c>
      <c r="I763">
        <v>226205</v>
      </c>
      <c r="J763" t="s">
        <v>32</v>
      </c>
      <c r="K763" t="s">
        <v>17</v>
      </c>
    </row>
    <row r="764" spans="1:11" x14ac:dyDescent="0.35">
      <c r="A764" t="s">
        <v>805</v>
      </c>
      <c r="B764" s="1">
        <v>45446</v>
      </c>
      <c r="C764" t="s">
        <v>37</v>
      </c>
      <c r="D764" t="s">
        <v>19</v>
      </c>
      <c r="E764" t="s">
        <v>25</v>
      </c>
      <c r="F764" t="s">
        <v>26</v>
      </c>
      <c r="G764">
        <v>15</v>
      </c>
      <c r="H764">
        <v>29569</v>
      </c>
      <c r="I764">
        <v>443535</v>
      </c>
      <c r="J764" t="s">
        <v>21</v>
      </c>
      <c r="K764" t="s">
        <v>17</v>
      </c>
    </row>
    <row r="765" spans="1:11" x14ac:dyDescent="0.35">
      <c r="A765" t="s">
        <v>806</v>
      </c>
      <c r="B765" s="1">
        <v>45401</v>
      </c>
      <c r="C765" t="s">
        <v>12</v>
      </c>
      <c r="D765" t="s">
        <v>19</v>
      </c>
      <c r="E765" t="s">
        <v>25</v>
      </c>
      <c r="F765" t="s">
        <v>26</v>
      </c>
      <c r="G765">
        <v>1</v>
      </c>
      <c r="H765">
        <v>29604</v>
      </c>
      <c r="I765">
        <v>29604</v>
      </c>
      <c r="J765" t="s">
        <v>16</v>
      </c>
      <c r="K765" t="s">
        <v>33</v>
      </c>
    </row>
    <row r="766" spans="1:11" x14ac:dyDescent="0.35">
      <c r="A766" t="s">
        <v>807</v>
      </c>
      <c r="B766" s="1">
        <v>45410</v>
      </c>
      <c r="C766" t="s">
        <v>37</v>
      </c>
      <c r="D766" t="s">
        <v>19</v>
      </c>
      <c r="E766" t="s">
        <v>39</v>
      </c>
      <c r="F766" t="s">
        <v>40</v>
      </c>
      <c r="G766">
        <v>15</v>
      </c>
      <c r="H766">
        <v>35561</v>
      </c>
      <c r="I766">
        <v>533415</v>
      </c>
      <c r="J766" t="s">
        <v>16</v>
      </c>
      <c r="K766" t="s">
        <v>22</v>
      </c>
    </row>
    <row r="767" spans="1:11" x14ac:dyDescent="0.35">
      <c r="A767" t="s">
        <v>808</v>
      </c>
      <c r="B767" s="1">
        <v>45454</v>
      </c>
      <c r="C767" t="s">
        <v>24</v>
      </c>
      <c r="D767" t="s">
        <v>38</v>
      </c>
      <c r="E767" t="s">
        <v>39</v>
      </c>
      <c r="F767" t="s">
        <v>55</v>
      </c>
      <c r="G767">
        <v>6</v>
      </c>
      <c r="H767">
        <v>18754</v>
      </c>
      <c r="I767">
        <v>112524</v>
      </c>
      <c r="J767" t="s">
        <v>27</v>
      </c>
      <c r="K767" t="s">
        <v>17</v>
      </c>
    </row>
    <row r="768" spans="1:11" x14ac:dyDescent="0.35">
      <c r="A768" t="s">
        <v>809</v>
      </c>
      <c r="B768" s="1">
        <v>45503</v>
      </c>
      <c r="C768" t="s">
        <v>43</v>
      </c>
      <c r="D768" t="s">
        <v>13</v>
      </c>
      <c r="E768" t="s">
        <v>39</v>
      </c>
      <c r="F768" t="s">
        <v>55</v>
      </c>
      <c r="G768">
        <v>2</v>
      </c>
      <c r="H768">
        <v>42096</v>
      </c>
      <c r="I768">
        <v>84192</v>
      </c>
      <c r="J768" t="s">
        <v>32</v>
      </c>
      <c r="K768" t="s">
        <v>17</v>
      </c>
    </row>
    <row r="769" spans="1:11" x14ac:dyDescent="0.35">
      <c r="A769" t="s">
        <v>810</v>
      </c>
      <c r="B769" s="1">
        <v>45446</v>
      </c>
      <c r="C769" t="s">
        <v>37</v>
      </c>
      <c r="D769" t="s">
        <v>19</v>
      </c>
      <c r="E769" t="s">
        <v>25</v>
      </c>
      <c r="F769" t="s">
        <v>26</v>
      </c>
      <c r="G769">
        <v>13</v>
      </c>
      <c r="H769">
        <v>47043</v>
      </c>
      <c r="I769">
        <v>611559</v>
      </c>
      <c r="J769" t="s">
        <v>16</v>
      </c>
      <c r="K769" t="s">
        <v>33</v>
      </c>
    </row>
    <row r="770" spans="1:11" x14ac:dyDescent="0.35">
      <c r="A770" t="s">
        <v>811</v>
      </c>
      <c r="B770" s="1">
        <v>45421</v>
      </c>
      <c r="C770" t="s">
        <v>29</v>
      </c>
      <c r="D770" t="s">
        <v>35</v>
      </c>
      <c r="E770" t="s">
        <v>25</v>
      </c>
      <c r="F770" t="s">
        <v>58</v>
      </c>
      <c r="G770">
        <v>14</v>
      </c>
      <c r="H770">
        <v>7088</v>
      </c>
      <c r="I770">
        <v>99232</v>
      </c>
      <c r="J770" t="s">
        <v>16</v>
      </c>
      <c r="K770" t="s">
        <v>33</v>
      </c>
    </row>
    <row r="771" spans="1:11" x14ac:dyDescent="0.35">
      <c r="A771" t="s">
        <v>812</v>
      </c>
      <c r="B771" s="1">
        <v>45559</v>
      </c>
      <c r="C771" t="s">
        <v>12</v>
      </c>
      <c r="D771" t="s">
        <v>38</v>
      </c>
      <c r="E771" t="s">
        <v>30</v>
      </c>
      <c r="F771" t="s">
        <v>81</v>
      </c>
      <c r="G771">
        <v>3</v>
      </c>
      <c r="H771">
        <v>10016</v>
      </c>
      <c r="I771">
        <v>30048</v>
      </c>
      <c r="J771" t="s">
        <v>16</v>
      </c>
      <c r="K771" t="s">
        <v>22</v>
      </c>
    </row>
    <row r="772" spans="1:11" x14ac:dyDescent="0.35">
      <c r="A772" t="s">
        <v>813</v>
      </c>
      <c r="B772" s="1">
        <v>45460</v>
      </c>
      <c r="C772" t="s">
        <v>12</v>
      </c>
      <c r="D772" t="s">
        <v>38</v>
      </c>
      <c r="E772" t="s">
        <v>14</v>
      </c>
      <c r="F772" t="s">
        <v>20</v>
      </c>
      <c r="G772">
        <v>8</v>
      </c>
      <c r="H772">
        <v>43277</v>
      </c>
      <c r="I772">
        <v>346216</v>
      </c>
      <c r="J772" t="s">
        <v>21</v>
      </c>
      <c r="K772" t="s">
        <v>22</v>
      </c>
    </row>
    <row r="773" spans="1:11" x14ac:dyDescent="0.35">
      <c r="A773" t="s">
        <v>814</v>
      </c>
      <c r="B773" s="1">
        <v>45502</v>
      </c>
      <c r="C773" t="s">
        <v>12</v>
      </c>
      <c r="D773" t="s">
        <v>35</v>
      </c>
      <c r="E773" t="s">
        <v>39</v>
      </c>
      <c r="F773" t="s">
        <v>55</v>
      </c>
      <c r="G773">
        <v>16</v>
      </c>
      <c r="H773">
        <v>44169</v>
      </c>
      <c r="I773">
        <v>706704</v>
      </c>
      <c r="J773" t="s">
        <v>27</v>
      </c>
      <c r="K773" t="s">
        <v>33</v>
      </c>
    </row>
    <row r="774" spans="1:11" x14ac:dyDescent="0.35">
      <c r="A774" t="s">
        <v>815</v>
      </c>
      <c r="B774" s="1">
        <v>45465</v>
      </c>
      <c r="C774" t="s">
        <v>37</v>
      </c>
      <c r="D774" t="s">
        <v>19</v>
      </c>
      <c r="E774" t="s">
        <v>14</v>
      </c>
      <c r="F774" t="s">
        <v>20</v>
      </c>
      <c r="G774">
        <v>13</v>
      </c>
      <c r="H774">
        <v>35606</v>
      </c>
      <c r="I774">
        <v>462878</v>
      </c>
      <c r="J774" t="s">
        <v>21</v>
      </c>
      <c r="K774" t="s">
        <v>22</v>
      </c>
    </row>
    <row r="775" spans="1:11" x14ac:dyDescent="0.35">
      <c r="A775" t="s">
        <v>816</v>
      </c>
      <c r="B775" s="1">
        <v>45491</v>
      </c>
      <c r="C775" t="s">
        <v>43</v>
      </c>
      <c r="D775" t="s">
        <v>19</v>
      </c>
      <c r="E775" t="s">
        <v>39</v>
      </c>
      <c r="F775" t="s">
        <v>55</v>
      </c>
      <c r="G775">
        <v>8</v>
      </c>
      <c r="H775">
        <v>39413</v>
      </c>
      <c r="I775">
        <v>315304</v>
      </c>
      <c r="J775" t="s">
        <v>32</v>
      </c>
      <c r="K775" t="s">
        <v>33</v>
      </c>
    </row>
    <row r="776" spans="1:11" x14ac:dyDescent="0.35">
      <c r="A776" t="s">
        <v>817</v>
      </c>
      <c r="B776" s="1">
        <v>45426</v>
      </c>
      <c r="C776" t="s">
        <v>29</v>
      </c>
      <c r="D776" t="s">
        <v>13</v>
      </c>
      <c r="E776" t="s">
        <v>25</v>
      </c>
      <c r="F776" t="s">
        <v>26</v>
      </c>
      <c r="G776">
        <v>15</v>
      </c>
      <c r="H776">
        <v>20687</v>
      </c>
      <c r="I776">
        <v>310305</v>
      </c>
      <c r="J776" t="s">
        <v>32</v>
      </c>
      <c r="K776" t="s">
        <v>33</v>
      </c>
    </row>
    <row r="777" spans="1:11" x14ac:dyDescent="0.35">
      <c r="A777" t="s">
        <v>818</v>
      </c>
      <c r="B777" s="1">
        <v>45340</v>
      </c>
      <c r="C777" t="s">
        <v>29</v>
      </c>
      <c r="D777" t="s">
        <v>35</v>
      </c>
      <c r="E777" t="s">
        <v>39</v>
      </c>
      <c r="F777" t="s">
        <v>65</v>
      </c>
      <c r="G777">
        <v>8</v>
      </c>
      <c r="H777">
        <v>43195</v>
      </c>
      <c r="I777">
        <v>345560</v>
      </c>
      <c r="J777" t="s">
        <v>32</v>
      </c>
      <c r="K777" t="s">
        <v>17</v>
      </c>
    </row>
    <row r="778" spans="1:11" x14ac:dyDescent="0.35">
      <c r="A778" t="s">
        <v>819</v>
      </c>
      <c r="B778" s="1">
        <v>45323</v>
      </c>
      <c r="C778" t="s">
        <v>12</v>
      </c>
      <c r="D778" t="s">
        <v>35</v>
      </c>
      <c r="E778" t="s">
        <v>14</v>
      </c>
      <c r="F778" t="s">
        <v>20</v>
      </c>
      <c r="G778">
        <v>2</v>
      </c>
      <c r="H778">
        <v>17350</v>
      </c>
      <c r="I778">
        <v>34700</v>
      </c>
      <c r="J778" t="s">
        <v>21</v>
      </c>
      <c r="K778" t="s">
        <v>33</v>
      </c>
    </row>
    <row r="779" spans="1:11" x14ac:dyDescent="0.35">
      <c r="A779" t="s">
        <v>820</v>
      </c>
      <c r="B779" s="1">
        <v>45318</v>
      </c>
      <c r="C779" t="s">
        <v>37</v>
      </c>
      <c r="D779" t="s">
        <v>13</v>
      </c>
      <c r="E779" t="s">
        <v>14</v>
      </c>
      <c r="F779" t="s">
        <v>62</v>
      </c>
      <c r="G779">
        <v>17</v>
      </c>
      <c r="H779">
        <v>1737</v>
      </c>
      <c r="I779">
        <v>29529</v>
      </c>
      <c r="J779" t="s">
        <v>27</v>
      </c>
      <c r="K779" t="s">
        <v>33</v>
      </c>
    </row>
    <row r="780" spans="1:11" x14ac:dyDescent="0.35">
      <c r="A780" t="s">
        <v>821</v>
      </c>
      <c r="B780" s="1">
        <v>45639</v>
      </c>
      <c r="C780" t="s">
        <v>12</v>
      </c>
      <c r="D780" t="s">
        <v>13</v>
      </c>
      <c r="E780" t="s">
        <v>25</v>
      </c>
      <c r="F780" t="s">
        <v>58</v>
      </c>
      <c r="G780">
        <v>2</v>
      </c>
      <c r="H780">
        <v>28530</v>
      </c>
      <c r="I780">
        <v>57060</v>
      </c>
      <c r="J780" t="s">
        <v>27</v>
      </c>
      <c r="K780" t="s">
        <v>17</v>
      </c>
    </row>
    <row r="781" spans="1:11" x14ac:dyDescent="0.35">
      <c r="A781" t="s">
        <v>822</v>
      </c>
      <c r="B781" s="1">
        <v>45547</v>
      </c>
      <c r="C781" t="s">
        <v>12</v>
      </c>
      <c r="D781" t="s">
        <v>13</v>
      </c>
      <c r="E781" t="s">
        <v>25</v>
      </c>
      <c r="F781" t="s">
        <v>48</v>
      </c>
      <c r="G781">
        <v>16</v>
      </c>
      <c r="H781">
        <v>3579</v>
      </c>
      <c r="I781">
        <v>57264</v>
      </c>
      <c r="J781" t="s">
        <v>16</v>
      </c>
      <c r="K781" t="s">
        <v>33</v>
      </c>
    </row>
    <row r="782" spans="1:11" x14ac:dyDescent="0.35">
      <c r="A782" t="s">
        <v>823</v>
      </c>
      <c r="B782" s="1">
        <v>45438</v>
      </c>
      <c r="C782" t="s">
        <v>43</v>
      </c>
      <c r="D782" t="s">
        <v>13</v>
      </c>
      <c r="E782" t="s">
        <v>30</v>
      </c>
      <c r="F782" t="s">
        <v>81</v>
      </c>
      <c r="G782">
        <v>14</v>
      </c>
      <c r="H782">
        <v>26840</v>
      </c>
      <c r="I782">
        <v>375760</v>
      </c>
      <c r="J782" t="s">
        <v>32</v>
      </c>
      <c r="K782" t="s">
        <v>17</v>
      </c>
    </row>
    <row r="783" spans="1:11" x14ac:dyDescent="0.35">
      <c r="A783" t="s">
        <v>824</v>
      </c>
      <c r="B783" s="1">
        <v>45483</v>
      </c>
      <c r="C783" t="s">
        <v>24</v>
      </c>
      <c r="D783" t="s">
        <v>19</v>
      </c>
      <c r="E783" t="s">
        <v>14</v>
      </c>
      <c r="F783" t="s">
        <v>62</v>
      </c>
      <c r="G783">
        <v>18</v>
      </c>
      <c r="H783">
        <v>623</v>
      </c>
      <c r="I783">
        <v>11214</v>
      </c>
      <c r="J783" t="s">
        <v>27</v>
      </c>
      <c r="K783" t="s">
        <v>33</v>
      </c>
    </row>
    <row r="784" spans="1:11" x14ac:dyDescent="0.35">
      <c r="A784" t="s">
        <v>825</v>
      </c>
      <c r="B784" s="1">
        <v>45499</v>
      </c>
      <c r="C784" t="s">
        <v>29</v>
      </c>
      <c r="D784" t="s">
        <v>13</v>
      </c>
      <c r="E784" t="s">
        <v>39</v>
      </c>
      <c r="F784" t="s">
        <v>40</v>
      </c>
      <c r="G784">
        <v>20</v>
      </c>
      <c r="H784">
        <v>17127</v>
      </c>
      <c r="I784">
        <v>342540</v>
      </c>
      <c r="J784" t="s">
        <v>16</v>
      </c>
      <c r="K784" t="s">
        <v>33</v>
      </c>
    </row>
    <row r="785" spans="1:11" x14ac:dyDescent="0.35">
      <c r="A785" t="s">
        <v>826</v>
      </c>
      <c r="B785" s="1">
        <v>45641</v>
      </c>
      <c r="C785" t="s">
        <v>37</v>
      </c>
      <c r="D785" t="s">
        <v>19</v>
      </c>
      <c r="E785" t="s">
        <v>39</v>
      </c>
      <c r="F785" t="s">
        <v>55</v>
      </c>
      <c r="G785">
        <v>13</v>
      </c>
      <c r="H785">
        <v>29494</v>
      </c>
      <c r="I785">
        <v>383422</v>
      </c>
      <c r="J785" t="s">
        <v>32</v>
      </c>
      <c r="K785" t="s">
        <v>33</v>
      </c>
    </row>
    <row r="786" spans="1:11" x14ac:dyDescent="0.35">
      <c r="A786" t="s">
        <v>827</v>
      </c>
      <c r="B786" s="1">
        <v>45358</v>
      </c>
      <c r="C786" t="s">
        <v>37</v>
      </c>
      <c r="D786" t="s">
        <v>13</v>
      </c>
      <c r="E786" t="s">
        <v>25</v>
      </c>
      <c r="F786" t="s">
        <v>26</v>
      </c>
      <c r="G786">
        <v>20</v>
      </c>
      <c r="H786">
        <v>47806</v>
      </c>
      <c r="I786">
        <v>956120</v>
      </c>
      <c r="J786" t="s">
        <v>32</v>
      </c>
      <c r="K786" t="s">
        <v>17</v>
      </c>
    </row>
    <row r="787" spans="1:11" x14ac:dyDescent="0.35">
      <c r="A787" t="s">
        <v>828</v>
      </c>
      <c r="B787" s="1">
        <v>45318</v>
      </c>
      <c r="C787" t="s">
        <v>43</v>
      </c>
      <c r="D787" t="s">
        <v>38</v>
      </c>
      <c r="E787" t="s">
        <v>25</v>
      </c>
      <c r="F787" t="s">
        <v>58</v>
      </c>
      <c r="G787">
        <v>7</v>
      </c>
      <c r="H787">
        <v>10788</v>
      </c>
      <c r="I787">
        <v>75516</v>
      </c>
      <c r="J787" t="s">
        <v>27</v>
      </c>
      <c r="K787" t="s">
        <v>22</v>
      </c>
    </row>
    <row r="788" spans="1:11" x14ac:dyDescent="0.35">
      <c r="A788" t="s">
        <v>829</v>
      </c>
      <c r="B788" s="1">
        <v>45634</v>
      </c>
      <c r="C788" t="s">
        <v>12</v>
      </c>
      <c r="D788" t="s">
        <v>13</v>
      </c>
      <c r="E788" t="s">
        <v>25</v>
      </c>
      <c r="F788" t="s">
        <v>58</v>
      </c>
      <c r="G788">
        <v>17</v>
      </c>
      <c r="H788">
        <v>40619</v>
      </c>
      <c r="I788">
        <v>690523</v>
      </c>
      <c r="J788" t="s">
        <v>32</v>
      </c>
      <c r="K788" t="s">
        <v>22</v>
      </c>
    </row>
    <row r="789" spans="1:11" x14ac:dyDescent="0.35">
      <c r="A789" t="s">
        <v>830</v>
      </c>
      <c r="B789" s="1">
        <v>45564</v>
      </c>
      <c r="C789" t="s">
        <v>24</v>
      </c>
      <c r="D789" t="s">
        <v>19</v>
      </c>
      <c r="E789" t="s">
        <v>30</v>
      </c>
      <c r="F789" t="s">
        <v>81</v>
      </c>
      <c r="G789">
        <v>10</v>
      </c>
      <c r="H789">
        <v>23742</v>
      </c>
      <c r="I789">
        <v>237420</v>
      </c>
      <c r="J789" t="s">
        <v>16</v>
      </c>
      <c r="K789" t="s">
        <v>17</v>
      </c>
    </row>
    <row r="790" spans="1:11" x14ac:dyDescent="0.35">
      <c r="A790" t="s">
        <v>831</v>
      </c>
      <c r="B790" s="1">
        <v>45369</v>
      </c>
      <c r="C790" t="s">
        <v>24</v>
      </c>
      <c r="D790" t="s">
        <v>13</v>
      </c>
      <c r="E790" t="s">
        <v>30</v>
      </c>
      <c r="F790" t="s">
        <v>44</v>
      </c>
      <c r="G790">
        <v>3</v>
      </c>
      <c r="H790">
        <v>6492</v>
      </c>
      <c r="I790">
        <v>19476</v>
      </c>
      <c r="J790" t="s">
        <v>27</v>
      </c>
      <c r="K790" t="s">
        <v>22</v>
      </c>
    </row>
    <row r="791" spans="1:11" x14ac:dyDescent="0.35">
      <c r="A791" t="s">
        <v>832</v>
      </c>
      <c r="B791" s="1">
        <v>45555</v>
      </c>
      <c r="C791" t="s">
        <v>24</v>
      </c>
      <c r="D791" t="s">
        <v>35</v>
      </c>
      <c r="E791" t="s">
        <v>25</v>
      </c>
      <c r="F791" t="s">
        <v>26</v>
      </c>
      <c r="G791">
        <v>8</v>
      </c>
      <c r="H791">
        <v>36270</v>
      </c>
      <c r="I791">
        <v>290160</v>
      </c>
      <c r="J791" t="s">
        <v>21</v>
      </c>
      <c r="K791" t="s">
        <v>22</v>
      </c>
    </row>
    <row r="792" spans="1:11" x14ac:dyDescent="0.35">
      <c r="A792" t="s">
        <v>833</v>
      </c>
      <c r="B792" s="1">
        <v>45610</v>
      </c>
      <c r="C792" t="s">
        <v>37</v>
      </c>
      <c r="D792" t="s">
        <v>35</v>
      </c>
      <c r="E792" t="s">
        <v>30</v>
      </c>
      <c r="F792" t="s">
        <v>31</v>
      </c>
      <c r="G792">
        <v>14</v>
      </c>
      <c r="H792">
        <v>43700</v>
      </c>
      <c r="I792">
        <v>611800</v>
      </c>
      <c r="J792" t="s">
        <v>32</v>
      </c>
      <c r="K792" t="s">
        <v>17</v>
      </c>
    </row>
    <row r="793" spans="1:11" x14ac:dyDescent="0.35">
      <c r="A793" t="s">
        <v>834</v>
      </c>
      <c r="B793" s="1">
        <v>45429</v>
      </c>
      <c r="C793" t="s">
        <v>37</v>
      </c>
      <c r="D793" t="s">
        <v>13</v>
      </c>
      <c r="E793" t="s">
        <v>39</v>
      </c>
      <c r="F793" t="s">
        <v>55</v>
      </c>
      <c r="G793">
        <v>2</v>
      </c>
      <c r="H793">
        <v>2074</v>
      </c>
      <c r="I793">
        <v>4148</v>
      </c>
      <c r="J793" t="s">
        <v>32</v>
      </c>
      <c r="K793" t="s">
        <v>33</v>
      </c>
    </row>
    <row r="794" spans="1:11" x14ac:dyDescent="0.35">
      <c r="A794" t="s">
        <v>835</v>
      </c>
      <c r="B794" s="1">
        <v>45446</v>
      </c>
      <c r="C794" t="s">
        <v>12</v>
      </c>
      <c r="D794" t="s">
        <v>13</v>
      </c>
      <c r="E794" t="s">
        <v>25</v>
      </c>
      <c r="F794" t="s">
        <v>48</v>
      </c>
      <c r="G794">
        <v>17</v>
      </c>
      <c r="H794">
        <v>23103</v>
      </c>
      <c r="I794">
        <v>392751</v>
      </c>
      <c r="J794" t="s">
        <v>32</v>
      </c>
      <c r="K794" t="s">
        <v>22</v>
      </c>
    </row>
    <row r="795" spans="1:11" x14ac:dyDescent="0.35">
      <c r="A795" t="s">
        <v>836</v>
      </c>
      <c r="B795" s="1">
        <v>45303</v>
      </c>
      <c r="C795" t="s">
        <v>29</v>
      </c>
      <c r="D795" t="s">
        <v>13</v>
      </c>
      <c r="E795" t="s">
        <v>14</v>
      </c>
      <c r="F795" t="s">
        <v>15</v>
      </c>
      <c r="G795">
        <v>13</v>
      </c>
      <c r="H795">
        <v>25538</v>
      </c>
      <c r="I795">
        <v>331994</v>
      </c>
      <c r="J795" t="s">
        <v>16</v>
      </c>
      <c r="K795" t="s">
        <v>17</v>
      </c>
    </row>
    <row r="796" spans="1:11" x14ac:dyDescent="0.35">
      <c r="A796" t="s">
        <v>837</v>
      </c>
      <c r="B796" s="1">
        <v>45414</v>
      </c>
      <c r="C796" t="s">
        <v>24</v>
      </c>
      <c r="D796" t="s">
        <v>35</v>
      </c>
      <c r="E796" t="s">
        <v>39</v>
      </c>
      <c r="F796" t="s">
        <v>55</v>
      </c>
      <c r="G796">
        <v>4</v>
      </c>
      <c r="H796">
        <v>38156</v>
      </c>
      <c r="I796">
        <v>152624</v>
      </c>
      <c r="J796" t="s">
        <v>21</v>
      </c>
      <c r="K796" t="s">
        <v>33</v>
      </c>
    </row>
    <row r="797" spans="1:11" x14ac:dyDescent="0.35">
      <c r="A797" t="s">
        <v>838</v>
      </c>
      <c r="B797" s="1">
        <v>45431</v>
      </c>
      <c r="C797" t="s">
        <v>29</v>
      </c>
      <c r="D797" t="s">
        <v>38</v>
      </c>
      <c r="E797" t="s">
        <v>14</v>
      </c>
      <c r="F797" t="s">
        <v>15</v>
      </c>
      <c r="G797">
        <v>20</v>
      </c>
      <c r="H797">
        <v>45873</v>
      </c>
      <c r="I797">
        <v>917460</v>
      </c>
      <c r="J797" t="s">
        <v>16</v>
      </c>
      <c r="K797" t="s">
        <v>33</v>
      </c>
    </row>
    <row r="798" spans="1:11" x14ac:dyDescent="0.35">
      <c r="A798" t="s">
        <v>839</v>
      </c>
      <c r="B798" s="1">
        <v>45294</v>
      </c>
      <c r="C798" t="s">
        <v>29</v>
      </c>
      <c r="D798" t="s">
        <v>13</v>
      </c>
      <c r="E798" t="s">
        <v>14</v>
      </c>
      <c r="F798" t="s">
        <v>62</v>
      </c>
      <c r="G798">
        <v>2</v>
      </c>
      <c r="H798">
        <v>41103</v>
      </c>
      <c r="I798">
        <v>82206</v>
      </c>
      <c r="J798" t="s">
        <v>16</v>
      </c>
      <c r="K798" t="s">
        <v>22</v>
      </c>
    </row>
    <row r="799" spans="1:11" x14ac:dyDescent="0.35">
      <c r="A799" t="s">
        <v>840</v>
      </c>
      <c r="B799" s="1">
        <v>45491</v>
      </c>
      <c r="C799" t="s">
        <v>24</v>
      </c>
      <c r="D799" t="s">
        <v>38</v>
      </c>
      <c r="E799" t="s">
        <v>14</v>
      </c>
      <c r="F799" t="s">
        <v>20</v>
      </c>
      <c r="G799">
        <v>11</v>
      </c>
      <c r="H799">
        <v>22551</v>
      </c>
      <c r="I799">
        <v>248061</v>
      </c>
      <c r="J799" t="s">
        <v>32</v>
      </c>
      <c r="K799" t="s">
        <v>33</v>
      </c>
    </row>
    <row r="800" spans="1:11" x14ac:dyDescent="0.35">
      <c r="A800" t="s">
        <v>841</v>
      </c>
      <c r="B800" s="1">
        <v>45327</v>
      </c>
      <c r="C800" t="s">
        <v>29</v>
      </c>
      <c r="D800" t="s">
        <v>35</v>
      </c>
      <c r="E800" t="s">
        <v>30</v>
      </c>
      <c r="F800" t="s">
        <v>31</v>
      </c>
      <c r="G800">
        <v>15</v>
      </c>
      <c r="H800">
        <v>31641</v>
      </c>
      <c r="I800">
        <v>474615</v>
      </c>
      <c r="J800" t="s">
        <v>32</v>
      </c>
      <c r="K800" t="s">
        <v>17</v>
      </c>
    </row>
    <row r="801" spans="1:11" x14ac:dyDescent="0.35">
      <c r="A801" t="s">
        <v>842</v>
      </c>
      <c r="B801" s="1">
        <v>45448</v>
      </c>
      <c r="C801" t="s">
        <v>24</v>
      </c>
      <c r="D801" t="s">
        <v>38</v>
      </c>
      <c r="E801" t="s">
        <v>39</v>
      </c>
      <c r="F801" t="s">
        <v>65</v>
      </c>
      <c r="G801">
        <v>6</v>
      </c>
      <c r="H801">
        <v>25091</v>
      </c>
      <c r="I801">
        <v>150546</v>
      </c>
      <c r="J801" t="s">
        <v>21</v>
      </c>
      <c r="K801" t="s">
        <v>22</v>
      </c>
    </row>
    <row r="802" spans="1:11" x14ac:dyDescent="0.35">
      <c r="A802" t="s">
        <v>843</v>
      </c>
      <c r="B802" s="1">
        <v>45451</v>
      </c>
      <c r="C802" t="s">
        <v>37</v>
      </c>
      <c r="D802" t="s">
        <v>19</v>
      </c>
      <c r="E802" t="s">
        <v>39</v>
      </c>
      <c r="F802" t="s">
        <v>40</v>
      </c>
      <c r="G802">
        <v>4</v>
      </c>
      <c r="H802">
        <v>9225</v>
      </c>
      <c r="I802">
        <v>36900</v>
      </c>
      <c r="J802" t="s">
        <v>32</v>
      </c>
      <c r="K802" t="s">
        <v>17</v>
      </c>
    </row>
    <row r="803" spans="1:11" x14ac:dyDescent="0.35">
      <c r="A803" t="s">
        <v>844</v>
      </c>
      <c r="B803" s="1">
        <v>45416</v>
      </c>
      <c r="C803" t="s">
        <v>12</v>
      </c>
      <c r="D803" t="s">
        <v>35</v>
      </c>
      <c r="E803" t="s">
        <v>39</v>
      </c>
      <c r="F803" t="s">
        <v>40</v>
      </c>
      <c r="G803">
        <v>4</v>
      </c>
      <c r="H803">
        <v>34619</v>
      </c>
      <c r="I803">
        <v>138476</v>
      </c>
      <c r="J803" t="s">
        <v>21</v>
      </c>
      <c r="K803" t="s">
        <v>17</v>
      </c>
    </row>
    <row r="804" spans="1:11" x14ac:dyDescent="0.35">
      <c r="A804" t="s">
        <v>845</v>
      </c>
      <c r="B804" s="1">
        <v>45420</v>
      </c>
      <c r="C804" t="s">
        <v>43</v>
      </c>
      <c r="D804" t="s">
        <v>35</v>
      </c>
      <c r="E804" t="s">
        <v>39</v>
      </c>
      <c r="F804" t="s">
        <v>40</v>
      </c>
      <c r="G804">
        <v>17</v>
      </c>
      <c r="H804">
        <v>35726</v>
      </c>
      <c r="I804">
        <v>607342</v>
      </c>
      <c r="J804" t="s">
        <v>27</v>
      </c>
      <c r="K804" t="s">
        <v>22</v>
      </c>
    </row>
    <row r="805" spans="1:11" x14ac:dyDescent="0.35">
      <c r="A805" t="s">
        <v>846</v>
      </c>
      <c r="B805" s="1">
        <v>45602</v>
      </c>
      <c r="C805" t="s">
        <v>37</v>
      </c>
      <c r="D805" t="s">
        <v>19</v>
      </c>
      <c r="E805" t="s">
        <v>14</v>
      </c>
      <c r="F805" t="s">
        <v>15</v>
      </c>
      <c r="G805">
        <v>16</v>
      </c>
      <c r="H805">
        <v>49696</v>
      </c>
      <c r="I805">
        <v>795136</v>
      </c>
      <c r="J805" t="s">
        <v>27</v>
      </c>
      <c r="K805" t="s">
        <v>17</v>
      </c>
    </row>
    <row r="806" spans="1:11" x14ac:dyDescent="0.35">
      <c r="A806" t="s">
        <v>847</v>
      </c>
      <c r="B806" s="1">
        <v>45429</v>
      </c>
      <c r="C806" t="s">
        <v>37</v>
      </c>
      <c r="D806" t="s">
        <v>13</v>
      </c>
      <c r="E806" t="s">
        <v>14</v>
      </c>
      <c r="F806" t="s">
        <v>20</v>
      </c>
      <c r="G806">
        <v>14</v>
      </c>
      <c r="H806">
        <v>4311</v>
      </c>
      <c r="I806">
        <v>60354</v>
      </c>
      <c r="J806" t="s">
        <v>16</v>
      </c>
      <c r="K806" t="s">
        <v>33</v>
      </c>
    </row>
    <row r="807" spans="1:11" x14ac:dyDescent="0.35">
      <c r="A807" t="s">
        <v>848</v>
      </c>
      <c r="B807" s="1">
        <v>45418</v>
      </c>
      <c r="C807" t="s">
        <v>29</v>
      </c>
      <c r="D807" t="s">
        <v>35</v>
      </c>
      <c r="E807" t="s">
        <v>14</v>
      </c>
      <c r="F807" t="s">
        <v>20</v>
      </c>
      <c r="G807">
        <v>9</v>
      </c>
      <c r="H807">
        <v>24152</v>
      </c>
      <c r="I807">
        <v>217368</v>
      </c>
      <c r="J807" t="s">
        <v>16</v>
      </c>
      <c r="K807" t="s">
        <v>33</v>
      </c>
    </row>
    <row r="808" spans="1:11" x14ac:dyDescent="0.35">
      <c r="A808" t="s">
        <v>849</v>
      </c>
      <c r="B808" s="1">
        <v>45549</v>
      </c>
      <c r="C808" t="s">
        <v>24</v>
      </c>
      <c r="D808" t="s">
        <v>19</v>
      </c>
      <c r="E808" t="s">
        <v>14</v>
      </c>
      <c r="F808" t="s">
        <v>62</v>
      </c>
      <c r="G808">
        <v>2</v>
      </c>
      <c r="H808">
        <v>21153</v>
      </c>
      <c r="I808">
        <v>42306</v>
      </c>
      <c r="J808" t="s">
        <v>16</v>
      </c>
      <c r="K808" t="s">
        <v>22</v>
      </c>
    </row>
    <row r="809" spans="1:11" x14ac:dyDescent="0.35">
      <c r="A809" t="s">
        <v>850</v>
      </c>
      <c r="B809" s="1">
        <v>45348</v>
      </c>
      <c r="C809" t="s">
        <v>29</v>
      </c>
      <c r="D809" t="s">
        <v>38</v>
      </c>
      <c r="E809" t="s">
        <v>25</v>
      </c>
      <c r="F809" t="s">
        <v>48</v>
      </c>
      <c r="G809">
        <v>1</v>
      </c>
      <c r="H809">
        <v>18211</v>
      </c>
      <c r="I809">
        <v>18211</v>
      </c>
      <c r="J809" t="s">
        <v>21</v>
      </c>
      <c r="K809" t="s">
        <v>33</v>
      </c>
    </row>
    <row r="810" spans="1:11" x14ac:dyDescent="0.35">
      <c r="A810" t="s">
        <v>851</v>
      </c>
      <c r="B810" s="1">
        <v>45553</v>
      </c>
      <c r="C810" t="s">
        <v>29</v>
      </c>
      <c r="D810" t="s">
        <v>38</v>
      </c>
      <c r="E810" t="s">
        <v>30</v>
      </c>
      <c r="F810" t="s">
        <v>31</v>
      </c>
      <c r="G810">
        <v>20</v>
      </c>
      <c r="H810">
        <v>1713</v>
      </c>
      <c r="I810">
        <v>34260</v>
      </c>
      <c r="J810" t="s">
        <v>27</v>
      </c>
      <c r="K810" t="s">
        <v>22</v>
      </c>
    </row>
    <row r="811" spans="1:11" x14ac:dyDescent="0.35">
      <c r="A811" t="s">
        <v>852</v>
      </c>
      <c r="B811" s="1">
        <v>45437</v>
      </c>
      <c r="C811" t="s">
        <v>37</v>
      </c>
      <c r="D811" t="s">
        <v>19</v>
      </c>
      <c r="E811" t="s">
        <v>30</v>
      </c>
      <c r="F811" t="s">
        <v>81</v>
      </c>
      <c r="G811">
        <v>17</v>
      </c>
      <c r="H811">
        <v>10519</v>
      </c>
      <c r="I811">
        <v>178823</v>
      </c>
      <c r="J811" t="s">
        <v>32</v>
      </c>
      <c r="K811" t="s">
        <v>17</v>
      </c>
    </row>
    <row r="812" spans="1:11" x14ac:dyDescent="0.35">
      <c r="A812" t="s">
        <v>853</v>
      </c>
      <c r="B812" s="1">
        <v>45529</v>
      </c>
      <c r="C812" t="s">
        <v>12</v>
      </c>
      <c r="D812" t="s">
        <v>38</v>
      </c>
      <c r="E812" t="s">
        <v>14</v>
      </c>
      <c r="F812" t="s">
        <v>62</v>
      </c>
      <c r="G812">
        <v>9</v>
      </c>
      <c r="H812">
        <v>4630</v>
      </c>
      <c r="I812">
        <v>41670</v>
      </c>
      <c r="J812" t="s">
        <v>16</v>
      </c>
      <c r="K812" t="s">
        <v>33</v>
      </c>
    </row>
    <row r="813" spans="1:11" x14ac:dyDescent="0.35">
      <c r="A813" t="s">
        <v>854</v>
      </c>
      <c r="B813" s="1">
        <v>45643</v>
      </c>
      <c r="C813" t="s">
        <v>24</v>
      </c>
      <c r="D813" t="s">
        <v>38</v>
      </c>
      <c r="E813" t="s">
        <v>39</v>
      </c>
      <c r="F813" t="s">
        <v>65</v>
      </c>
      <c r="G813">
        <v>5</v>
      </c>
      <c r="H813">
        <v>39252</v>
      </c>
      <c r="I813">
        <v>196260</v>
      </c>
      <c r="J813" t="s">
        <v>27</v>
      </c>
      <c r="K813" t="s">
        <v>17</v>
      </c>
    </row>
    <row r="814" spans="1:11" x14ac:dyDescent="0.35">
      <c r="A814" t="s">
        <v>855</v>
      </c>
      <c r="B814" s="1">
        <v>45360</v>
      </c>
      <c r="C814" t="s">
        <v>43</v>
      </c>
      <c r="D814" t="s">
        <v>38</v>
      </c>
      <c r="E814" t="s">
        <v>39</v>
      </c>
      <c r="F814" t="s">
        <v>55</v>
      </c>
      <c r="G814">
        <v>18</v>
      </c>
      <c r="H814">
        <v>35737</v>
      </c>
      <c r="I814">
        <v>643266</v>
      </c>
      <c r="J814" t="s">
        <v>21</v>
      </c>
      <c r="K814" t="s">
        <v>33</v>
      </c>
    </row>
    <row r="815" spans="1:11" x14ac:dyDescent="0.35">
      <c r="A815" t="s">
        <v>856</v>
      </c>
      <c r="B815" s="1">
        <v>45452</v>
      </c>
      <c r="C815" t="s">
        <v>29</v>
      </c>
      <c r="D815" t="s">
        <v>13</v>
      </c>
      <c r="E815" t="s">
        <v>30</v>
      </c>
      <c r="F815" t="s">
        <v>44</v>
      </c>
      <c r="G815">
        <v>11</v>
      </c>
      <c r="H815">
        <v>16215</v>
      </c>
      <c r="I815">
        <v>178365</v>
      </c>
      <c r="J815" t="s">
        <v>27</v>
      </c>
      <c r="K815" t="s">
        <v>22</v>
      </c>
    </row>
    <row r="816" spans="1:11" x14ac:dyDescent="0.35">
      <c r="A816" t="s">
        <v>857</v>
      </c>
      <c r="B816" s="1">
        <v>45583</v>
      </c>
      <c r="C816" t="s">
        <v>12</v>
      </c>
      <c r="D816" t="s">
        <v>13</v>
      </c>
      <c r="E816" t="s">
        <v>14</v>
      </c>
      <c r="F816" t="s">
        <v>15</v>
      </c>
      <c r="G816">
        <v>9</v>
      </c>
      <c r="H816">
        <v>10711</v>
      </c>
      <c r="I816">
        <v>96399</v>
      </c>
      <c r="J816" t="s">
        <v>21</v>
      </c>
      <c r="K816" t="s">
        <v>33</v>
      </c>
    </row>
    <row r="817" spans="1:11" x14ac:dyDescent="0.35">
      <c r="A817" t="s">
        <v>858</v>
      </c>
      <c r="B817" s="1">
        <v>45449</v>
      </c>
      <c r="C817" t="s">
        <v>29</v>
      </c>
      <c r="D817" t="s">
        <v>38</v>
      </c>
      <c r="E817" t="s">
        <v>25</v>
      </c>
      <c r="F817" t="s">
        <v>58</v>
      </c>
      <c r="G817">
        <v>4</v>
      </c>
      <c r="H817">
        <v>3925</v>
      </c>
      <c r="I817">
        <v>15700</v>
      </c>
      <c r="J817" t="s">
        <v>32</v>
      </c>
      <c r="K817" t="s">
        <v>33</v>
      </c>
    </row>
    <row r="818" spans="1:11" x14ac:dyDescent="0.35">
      <c r="A818" t="s">
        <v>859</v>
      </c>
      <c r="B818" s="1">
        <v>45533</v>
      </c>
      <c r="C818" t="s">
        <v>43</v>
      </c>
      <c r="D818" t="s">
        <v>38</v>
      </c>
      <c r="E818" t="s">
        <v>30</v>
      </c>
      <c r="F818" t="s">
        <v>44</v>
      </c>
      <c r="G818">
        <v>18</v>
      </c>
      <c r="H818">
        <v>46853</v>
      </c>
      <c r="I818">
        <v>843354</v>
      </c>
      <c r="J818" t="s">
        <v>21</v>
      </c>
      <c r="K818" t="s">
        <v>22</v>
      </c>
    </row>
    <row r="819" spans="1:11" x14ac:dyDescent="0.35">
      <c r="A819" t="s">
        <v>860</v>
      </c>
      <c r="B819" s="1">
        <v>45543</v>
      </c>
      <c r="C819" t="s">
        <v>43</v>
      </c>
      <c r="D819" t="s">
        <v>35</v>
      </c>
      <c r="E819" t="s">
        <v>25</v>
      </c>
      <c r="F819" t="s">
        <v>58</v>
      </c>
      <c r="G819">
        <v>12</v>
      </c>
      <c r="H819">
        <v>33275</v>
      </c>
      <c r="I819">
        <v>399300</v>
      </c>
      <c r="J819" t="s">
        <v>16</v>
      </c>
      <c r="K819" t="s">
        <v>22</v>
      </c>
    </row>
    <row r="820" spans="1:11" x14ac:dyDescent="0.35">
      <c r="A820" t="s">
        <v>861</v>
      </c>
      <c r="B820" s="1">
        <v>45543</v>
      </c>
      <c r="C820" t="s">
        <v>43</v>
      </c>
      <c r="D820" t="s">
        <v>13</v>
      </c>
      <c r="E820" t="s">
        <v>14</v>
      </c>
      <c r="F820" t="s">
        <v>15</v>
      </c>
      <c r="G820">
        <v>18</v>
      </c>
      <c r="H820">
        <v>19770</v>
      </c>
      <c r="I820">
        <v>355860</v>
      </c>
      <c r="J820" t="s">
        <v>16</v>
      </c>
      <c r="K820" t="s">
        <v>22</v>
      </c>
    </row>
    <row r="821" spans="1:11" x14ac:dyDescent="0.35">
      <c r="A821" t="s">
        <v>862</v>
      </c>
      <c r="B821" s="1">
        <v>45488</v>
      </c>
      <c r="C821" t="s">
        <v>37</v>
      </c>
      <c r="D821" t="s">
        <v>19</v>
      </c>
      <c r="E821" t="s">
        <v>30</v>
      </c>
      <c r="F821" t="s">
        <v>44</v>
      </c>
      <c r="G821">
        <v>9</v>
      </c>
      <c r="H821">
        <v>47981</v>
      </c>
      <c r="I821">
        <v>431829</v>
      </c>
      <c r="J821" t="s">
        <v>16</v>
      </c>
      <c r="K821" t="s">
        <v>33</v>
      </c>
    </row>
    <row r="822" spans="1:11" x14ac:dyDescent="0.35">
      <c r="A822" t="s">
        <v>863</v>
      </c>
      <c r="B822" s="1">
        <v>45307</v>
      </c>
      <c r="C822" t="s">
        <v>24</v>
      </c>
      <c r="D822" t="s">
        <v>38</v>
      </c>
      <c r="E822" t="s">
        <v>25</v>
      </c>
      <c r="F822" t="s">
        <v>48</v>
      </c>
      <c r="G822">
        <v>12</v>
      </c>
      <c r="H822">
        <v>25068</v>
      </c>
      <c r="I822">
        <v>300816</v>
      </c>
      <c r="J822" t="s">
        <v>32</v>
      </c>
      <c r="K822" t="s">
        <v>22</v>
      </c>
    </row>
    <row r="823" spans="1:11" x14ac:dyDescent="0.35">
      <c r="A823" t="s">
        <v>864</v>
      </c>
      <c r="B823" s="1">
        <v>45513</v>
      </c>
      <c r="C823" t="s">
        <v>24</v>
      </c>
      <c r="D823" t="s">
        <v>38</v>
      </c>
      <c r="E823" t="s">
        <v>30</v>
      </c>
      <c r="F823" t="s">
        <v>44</v>
      </c>
      <c r="G823">
        <v>17</v>
      </c>
      <c r="H823">
        <v>9820</v>
      </c>
      <c r="I823">
        <v>166940</v>
      </c>
      <c r="J823" t="s">
        <v>27</v>
      </c>
      <c r="K823" t="s">
        <v>22</v>
      </c>
    </row>
    <row r="824" spans="1:11" x14ac:dyDescent="0.35">
      <c r="A824" t="s">
        <v>865</v>
      </c>
      <c r="B824" s="1">
        <v>45581</v>
      </c>
      <c r="C824" t="s">
        <v>24</v>
      </c>
      <c r="D824" t="s">
        <v>35</v>
      </c>
      <c r="E824" t="s">
        <v>30</v>
      </c>
      <c r="F824" t="s">
        <v>31</v>
      </c>
      <c r="G824">
        <v>13</v>
      </c>
      <c r="H824">
        <v>27590</v>
      </c>
      <c r="I824">
        <v>358670</v>
      </c>
      <c r="J824" t="s">
        <v>21</v>
      </c>
      <c r="K824" t="s">
        <v>17</v>
      </c>
    </row>
    <row r="825" spans="1:11" x14ac:dyDescent="0.35">
      <c r="A825" t="s">
        <v>866</v>
      </c>
      <c r="B825" s="1">
        <v>45358</v>
      </c>
      <c r="C825" t="s">
        <v>12</v>
      </c>
      <c r="D825" t="s">
        <v>13</v>
      </c>
      <c r="E825" t="s">
        <v>25</v>
      </c>
      <c r="F825" t="s">
        <v>58</v>
      </c>
      <c r="G825">
        <v>19</v>
      </c>
      <c r="H825">
        <v>32308</v>
      </c>
      <c r="I825">
        <v>613852</v>
      </c>
      <c r="J825" t="s">
        <v>32</v>
      </c>
      <c r="K825" t="s">
        <v>17</v>
      </c>
    </row>
    <row r="826" spans="1:11" x14ac:dyDescent="0.35">
      <c r="A826" t="s">
        <v>867</v>
      </c>
      <c r="B826" s="1">
        <v>45543</v>
      </c>
      <c r="C826" t="s">
        <v>29</v>
      </c>
      <c r="D826" t="s">
        <v>38</v>
      </c>
      <c r="E826" t="s">
        <v>39</v>
      </c>
      <c r="F826" t="s">
        <v>40</v>
      </c>
      <c r="G826">
        <v>12</v>
      </c>
      <c r="H826">
        <v>23887</v>
      </c>
      <c r="I826">
        <v>286644</v>
      </c>
      <c r="J826" t="s">
        <v>21</v>
      </c>
      <c r="K826" t="s">
        <v>22</v>
      </c>
    </row>
    <row r="827" spans="1:11" x14ac:dyDescent="0.35">
      <c r="A827" t="s">
        <v>868</v>
      </c>
      <c r="B827" s="1">
        <v>45557</v>
      </c>
      <c r="C827" t="s">
        <v>29</v>
      </c>
      <c r="D827" t="s">
        <v>35</v>
      </c>
      <c r="E827" t="s">
        <v>39</v>
      </c>
      <c r="F827" t="s">
        <v>40</v>
      </c>
      <c r="G827">
        <v>10</v>
      </c>
      <c r="H827">
        <v>46518</v>
      </c>
      <c r="I827">
        <v>465180</v>
      </c>
      <c r="J827" t="s">
        <v>32</v>
      </c>
      <c r="K827" t="s">
        <v>33</v>
      </c>
    </row>
    <row r="828" spans="1:11" x14ac:dyDescent="0.35">
      <c r="A828" t="s">
        <v>869</v>
      </c>
      <c r="B828" s="1">
        <v>45478</v>
      </c>
      <c r="C828" t="s">
        <v>43</v>
      </c>
      <c r="D828" t="s">
        <v>13</v>
      </c>
      <c r="E828" t="s">
        <v>30</v>
      </c>
      <c r="F828" t="s">
        <v>81</v>
      </c>
      <c r="G828">
        <v>19</v>
      </c>
      <c r="H828">
        <v>20427</v>
      </c>
      <c r="I828">
        <v>388113</v>
      </c>
      <c r="J828" t="s">
        <v>21</v>
      </c>
      <c r="K828" t="s">
        <v>33</v>
      </c>
    </row>
    <row r="829" spans="1:11" x14ac:dyDescent="0.35">
      <c r="A829" t="s">
        <v>870</v>
      </c>
      <c r="B829" s="1">
        <v>45482</v>
      </c>
      <c r="C829" t="s">
        <v>24</v>
      </c>
      <c r="D829" t="s">
        <v>13</v>
      </c>
      <c r="E829" t="s">
        <v>30</v>
      </c>
      <c r="F829" t="s">
        <v>31</v>
      </c>
      <c r="G829">
        <v>8</v>
      </c>
      <c r="H829">
        <v>18271</v>
      </c>
      <c r="I829">
        <v>146168</v>
      </c>
      <c r="J829" t="s">
        <v>27</v>
      </c>
      <c r="K829" t="s">
        <v>22</v>
      </c>
    </row>
    <row r="830" spans="1:11" x14ac:dyDescent="0.35">
      <c r="A830" t="s">
        <v>871</v>
      </c>
      <c r="B830" s="1">
        <v>45492</v>
      </c>
      <c r="C830" t="s">
        <v>43</v>
      </c>
      <c r="D830" t="s">
        <v>13</v>
      </c>
      <c r="E830" t="s">
        <v>30</v>
      </c>
      <c r="F830" t="s">
        <v>81</v>
      </c>
      <c r="G830">
        <v>13</v>
      </c>
      <c r="H830">
        <v>5645</v>
      </c>
      <c r="I830">
        <v>73385</v>
      </c>
      <c r="J830" t="s">
        <v>21</v>
      </c>
      <c r="K830" t="s">
        <v>33</v>
      </c>
    </row>
    <row r="831" spans="1:11" x14ac:dyDescent="0.35">
      <c r="A831" t="s">
        <v>872</v>
      </c>
      <c r="B831" s="1">
        <v>45297</v>
      </c>
      <c r="C831" t="s">
        <v>24</v>
      </c>
      <c r="D831" t="s">
        <v>19</v>
      </c>
      <c r="E831" t="s">
        <v>30</v>
      </c>
      <c r="F831" t="s">
        <v>44</v>
      </c>
      <c r="G831">
        <v>9</v>
      </c>
      <c r="H831">
        <v>25716</v>
      </c>
      <c r="I831">
        <v>231444</v>
      </c>
      <c r="J831" t="s">
        <v>21</v>
      </c>
      <c r="K831" t="s">
        <v>22</v>
      </c>
    </row>
    <row r="832" spans="1:11" x14ac:dyDescent="0.35">
      <c r="A832" t="s">
        <v>873</v>
      </c>
      <c r="B832" s="1">
        <v>45319</v>
      </c>
      <c r="C832" t="s">
        <v>12</v>
      </c>
      <c r="D832" t="s">
        <v>35</v>
      </c>
      <c r="E832" t="s">
        <v>25</v>
      </c>
      <c r="F832" t="s">
        <v>58</v>
      </c>
      <c r="G832">
        <v>10</v>
      </c>
      <c r="H832">
        <v>39589</v>
      </c>
      <c r="I832">
        <v>395890</v>
      </c>
      <c r="J832" t="s">
        <v>16</v>
      </c>
      <c r="K832" t="s">
        <v>22</v>
      </c>
    </row>
    <row r="833" spans="1:11" x14ac:dyDescent="0.35">
      <c r="A833" t="s">
        <v>874</v>
      </c>
      <c r="B833" s="1">
        <v>45531</v>
      </c>
      <c r="C833" t="s">
        <v>24</v>
      </c>
      <c r="D833" t="s">
        <v>13</v>
      </c>
      <c r="E833" t="s">
        <v>39</v>
      </c>
      <c r="F833" t="s">
        <v>65</v>
      </c>
      <c r="G833">
        <v>1</v>
      </c>
      <c r="H833">
        <v>21735</v>
      </c>
      <c r="I833">
        <v>21735</v>
      </c>
      <c r="J833" t="s">
        <v>21</v>
      </c>
      <c r="K833" t="s">
        <v>22</v>
      </c>
    </row>
    <row r="834" spans="1:11" x14ac:dyDescent="0.35">
      <c r="A834" t="s">
        <v>875</v>
      </c>
      <c r="B834" s="1">
        <v>45306</v>
      </c>
      <c r="C834" t="s">
        <v>37</v>
      </c>
      <c r="D834" t="s">
        <v>35</v>
      </c>
      <c r="E834" t="s">
        <v>30</v>
      </c>
      <c r="F834" t="s">
        <v>31</v>
      </c>
      <c r="G834">
        <v>12</v>
      </c>
      <c r="H834">
        <v>27614</v>
      </c>
      <c r="I834">
        <v>331368</v>
      </c>
      <c r="J834" t="s">
        <v>21</v>
      </c>
      <c r="K834" t="s">
        <v>33</v>
      </c>
    </row>
    <row r="835" spans="1:11" x14ac:dyDescent="0.35">
      <c r="A835" t="s">
        <v>876</v>
      </c>
      <c r="B835" s="1">
        <v>45371</v>
      </c>
      <c r="C835" t="s">
        <v>24</v>
      </c>
      <c r="D835" t="s">
        <v>35</v>
      </c>
      <c r="E835" t="s">
        <v>30</v>
      </c>
      <c r="F835" t="s">
        <v>81</v>
      </c>
      <c r="G835">
        <v>11</v>
      </c>
      <c r="H835">
        <v>3657</v>
      </c>
      <c r="I835">
        <v>40227</v>
      </c>
      <c r="J835" t="s">
        <v>21</v>
      </c>
      <c r="K835" t="s">
        <v>33</v>
      </c>
    </row>
    <row r="836" spans="1:11" x14ac:dyDescent="0.35">
      <c r="A836" t="s">
        <v>877</v>
      </c>
      <c r="B836" s="1">
        <v>45556</v>
      </c>
      <c r="C836" t="s">
        <v>12</v>
      </c>
      <c r="D836" t="s">
        <v>38</v>
      </c>
      <c r="E836" t="s">
        <v>25</v>
      </c>
      <c r="F836" t="s">
        <v>58</v>
      </c>
      <c r="G836">
        <v>17</v>
      </c>
      <c r="H836">
        <v>20782</v>
      </c>
      <c r="I836">
        <v>353294</v>
      </c>
      <c r="J836" t="s">
        <v>27</v>
      </c>
      <c r="K836" t="s">
        <v>22</v>
      </c>
    </row>
    <row r="837" spans="1:11" x14ac:dyDescent="0.35">
      <c r="A837" t="s">
        <v>878</v>
      </c>
      <c r="B837" s="1">
        <v>45495</v>
      </c>
      <c r="C837" t="s">
        <v>37</v>
      </c>
      <c r="D837" t="s">
        <v>38</v>
      </c>
      <c r="E837" t="s">
        <v>14</v>
      </c>
      <c r="F837" t="s">
        <v>20</v>
      </c>
      <c r="G837">
        <v>9</v>
      </c>
      <c r="H837">
        <v>19306</v>
      </c>
      <c r="I837">
        <v>173754</v>
      </c>
      <c r="J837" t="s">
        <v>32</v>
      </c>
      <c r="K837" t="s">
        <v>17</v>
      </c>
    </row>
    <row r="838" spans="1:11" x14ac:dyDescent="0.35">
      <c r="A838" t="s">
        <v>879</v>
      </c>
      <c r="B838" s="1">
        <v>45380</v>
      </c>
      <c r="C838" t="s">
        <v>29</v>
      </c>
      <c r="D838" t="s">
        <v>38</v>
      </c>
      <c r="E838" t="s">
        <v>14</v>
      </c>
      <c r="F838" t="s">
        <v>62</v>
      </c>
      <c r="G838">
        <v>13</v>
      </c>
      <c r="H838">
        <v>20204</v>
      </c>
      <c r="I838">
        <v>262652</v>
      </c>
      <c r="J838" t="s">
        <v>21</v>
      </c>
      <c r="K838" t="s">
        <v>33</v>
      </c>
    </row>
    <row r="839" spans="1:11" x14ac:dyDescent="0.35">
      <c r="A839" t="s">
        <v>880</v>
      </c>
      <c r="B839" s="1">
        <v>45444</v>
      </c>
      <c r="C839" t="s">
        <v>29</v>
      </c>
      <c r="D839" t="s">
        <v>13</v>
      </c>
      <c r="E839" t="s">
        <v>25</v>
      </c>
      <c r="F839" t="s">
        <v>58</v>
      </c>
      <c r="G839">
        <v>13</v>
      </c>
      <c r="H839">
        <v>42345</v>
      </c>
      <c r="I839">
        <v>550485</v>
      </c>
      <c r="J839" t="s">
        <v>32</v>
      </c>
      <c r="K839" t="s">
        <v>22</v>
      </c>
    </row>
    <row r="840" spans="1:11" x14ac:dyDescent="0.35">
      <c r="A840" t="s">
        <v>881</v>
      </c>
      <c r="B840" s="1">
        <v>45462</v>
      </c>
      <c r="C840" t="s">
        <v>43</v>
      </c>
      <c r="D840" t="s">
        <v>19</v>
      </c>
      <c r="E840" t="s">
        <v>39</v>
      </c>
      <c r="F840" t="s">
        <v>40</v>
      </c>
      <c r="G840">
        <v>17</v>
      </c>
      <c r="H840">
        <v>42968</v>
      </c>
      <c r="I840">
        <v>730456</v>
      </c>
      <c r="J840" t="s">
        <v>32</v>
      </c>
      <c r="K840" t="s">
        <v>17</v>
      </c>
    </row>
    <row r="841" spans="1:11" x14ac:dyDescent="0.35">
      <c r="A841" t="s">
        <v>882</v>
      </c>
      <c r="B841" s="1">
        <v>45450</v>
      </c>
      <c r="C841" t="s">
        <v>24</v>
      </c>
      <c r="D841" t="s">
        <v>38</v>
      </c>
      <c r="E841" t="s">
        <v>14</v>
      </c>
      <c r="F841" t="s">
        <v>15</v>
      </c>
      <c r="G841">
        <v>3</v>
      </c>
      <c r="H841">
        <v>19200</v>
      </c>
      <c r="I841">
        <v>57600</v>
      </c>
      <c r="J841" t="s">
        <v>27</v>
      </c>
      <c r="K841" t="s">
        <v>33</v>
      </c>
    </row>
    <row r="842" spans="1:11" x14ac:dyDescent="0.35">
      <c r="A842" t="s">
        <v>883</v>
      </c>
      <c r="B842" s="1">
        <v>45326</v>
      </c>
      <c r="C842" t="s">
        <v>29</v>
      </c>
      <c r="D842" t="s">
        <v>13</v>
      </c>
      <c r="E842" t="s">
        <v>25</v>
      </c>
      <c r="F842" t="s">
        <v>58</v>
      </c>
      <c r="G842">
        <v>7</v>
      </c>
      <c r="H842">
        <v>29893</v>
      </c>
      <c r="I842">
        <v>209251</v>
      </c>
      <c r="J842" t="s">
        <v>32</v>
      </c>
      <c r="K842" t="s">
        <v>33</v>
      </c>
    </row>
    <row r="843" spans="1:11" x14ac:dyDescent="0.35">
      <c r="A843" t="s">
        <v>884</v>
      </c>
      <c r="B843" s="1">
        <v>45498</v>
      </c>
      <c r="C843" t="s">
        <v>37</v>
      </c>
      <c r="D843" t="s">
        <v>38</v>
      </c>
      <c r="E843" t="s">
        <v>39</v>
      </c>
      <c r="F843" t="s">
        <v>65</v>
      </c>
      <c r="G843">
        <v>11</v>
      </c>
      <c r="H843">
        <v>5328</v>
      </c>
      <c r="I843">
        <v>58608</v>
      </c>
      <c r="J843" t="s">
        <v>27</v>
      </c>
      <c r="K843" t="s">
        <v>22</v>
      </c>
    </row>
    <row r="844" spans="1:11" x14ac:dyDescent="0.35">
      <c r="A844" t="s">
        <v>885</v>
      </c>
      <c r="B844" s="1">
        <v>45465</v>
      </c>
      <c r="C844" t="s">
        <v>29</v>
      </c>
      <c r="D844" t="s">
        <v>35</v>
      </c>
      <c r="E844" t="s">
        <v>14</v>
      </c>
      <c r="F844" t="s">
        <v>15</v>
      </c>
      <c r="G844">
        <v>18</v>
      </c>
      <c r="H844">
        <v>46236</v>
      </c>
      <c r="I844">
        <v>832248</v>
      </c>
      <c r="J844" t="s">
        <v>27</v>
      </c>
      <c r="K844" t="s">
        <v>33</v>
      </c>
    </row>
    <row r="845" spans="1:11" x14ac:dyDescent="0.35">
      <c r="A845" t="s">
        <v>886</v>
      </c>
      <c r="B845" s="1">
        <v>45454</v>
      </c>
      <c r="C845" t="s">
        <v>37</v>
      </c>
      <c r="D845" t="s">
        <v>19</v>
      </c>
      <c r="E845" t="s">
        <v>25</v>
      </c>
      <c r="F845" t="s">
        <v>48</v>
      </c>
      <c r="G845">
        <v>11</v>
      </c>
      <c r="H845">
        <v>41233</v>
      </c>
      <c r="I845">
        <v>453563</v>
      </c>
      <c r="J845" t="s">
        <v>16</v>
      </c>
      <c r="K845" t="s">
        <v>17</v>
      </c>
    </row>
    <row r="846" spans="1:11" x14ac:dyDescent="0.35">
      <c r="A846" t="s">
        <v>887</v>
      </c>
      <c r="B846" s="1">
        <v>45496</v>
      </c>
      <c r="C846" t="s">
        <v>24</v>
      </c>
      <c r="D846" t="s">
        <v>35</v>
      </c>
      <c r="E846" t="s">
        <v>39</v>
      </c>
      <c r="F846" t="s">
        <v>55</v>
      </c>
      <c r="G846">
        <v>13</v>
      </c>
      <c r="H846">
        <v>39919</v>
      </c>
      <c r="I846">
        <v>518947</v>
      </c>
      <c r="J846" t="s">
        <v>16</v>
      </c>
      <c r="K846" t="s">
        <v>22</v>
      </c>
    </row>
    <row r="847" spans="1:11" x14ac:dyDescent="0.35">
      <c r="A847" t="s">
        <v>888</v>
      </c>
      <c r="B847" s="1">
        <v>45550</v>
      </c>
      <c r="C847" t="s">
        <v>12</v>
      </c>
      <c r="D847" t="s">
        <v>13</v>
      </c>
      <c r="E847" t="s">
        <v>14</v>
      </c>
      <c r="F847" t="s">
        <v>20</v>
      </c>
      <c r="G847">
        <v>2</v>
      </c>
      <c r="H847">
        <v>703</v>
      </c>
      <c r="I847">
        <v>1406</v>
      </c>
      <c r="J847" t="s">
        <v>27</v>
      </c>
      <c r="K847" t="s">
        <v>17</v>
      </c>
    </row>
    <row r="848" spans="1:11" x14ac:dyDescent="0.35">
      <c r="A848" t="s">
        <v>889</v>
      </c>
      <c r="B848" s="1">
        <v>45451</v>
      </c>
      <c r="C848" t="s">
        <v>43</v>
      </c>
      <c r="D848" t="s">
        <v>19</v>
      </c>
      <c r="E848" t="s">
        <v>14</v>
      </c>
      <c r="F848" t="s">
        <v>62</v>
      </c>
      <c r="G848">
        <v>9</v>
      </c>
      <c r="H848">
        <v>33392</v>
      </c>
      <c r="I848">
        <v>300528</v>
      </c>
      <c r="J848" t="s">
        <v>16</v>
      </c>
      <c r="K848" t="s">
        <v>33</v>
      </c>
    </row>
    <row r="849" spans="1:11" x14ac:dyDescent="0.35">
      <c r="A849" t="s">
        <v>890</v>
      </c>
      <c r="B849" s="1">
        <v>45410</v>
      </c>
      <c r="C849" t="s">
        <v>24</v>
      </c>
      <c r="D849" t="s">
        <v>38</v>
      </c>
      <c r="E849" t="s">
        <v>39</v>
      </c>
      <c r="F849" t="s">
        <v>55</v>
      </c>
      <c r="G849">
        <v>5</v>
      </c>
      <c r="H849">
        <v>29803</v>
      </c>
      <c r="I849">
        <v>149015</v>
      </c>
      <c r="J849" t="s">
        <v>32</v>
      </c>
      <c r="K849" t="s">
        <v>33</v>
      </c>
    </row>
    <row r="850" spans="1:11" x14ac:dyDescent="0.35">
      <c r="A850" t="s">
        <v>891</v>
      </c>
      <c r="B850" s="1">
        <v>45488</v>
      </c>
      <c r="C850" t="s">
        <v>29</v>
      </c>
      <c r="D850" t="s">
        <v>13</v>
      </c>
      <c r="E850" t="s">
        <v>25</v>
      </c>
      <c r="F850" t="s">
        <v>58</v>
      </c>
      <c r="G850">
        <v>14</v>
      </c>
      <c r="H850">
        <v>30064</v>
      </c>
      <c r="I850">
        <v>420896</v>
      </c>
      <c r="J850" t="s">
        <v>32</v>
      </c>
      <c r="K850" t="s">
        <v>17</v>
      </c>
    </row>
    <row r="851" spans="1:11" x14ac:dyDescent="0.35">
      <c r="A851" t="s">
        <v>892</v>
      </c>
      <c r="B851" s="1">
        <v>45376</v>
      </c>
      <c r="C851" t="s">
        <v>37</v>
      </c>
      <c r="D851" t="s">
        <v>35</v>
      </c>
      <c r="E851" t="s">
        <v>30</v>
      </c>
      <c r="F851" t="s">
        <v>31</v>
      </c>
      <c r="G851">
        <v>11</v>
      </c>
      <c r="H851">
        <v>36034</v>
      </c>
      <c r="I851">
        <v>396374</v>
      </c>
      <c r="J851" t="s">
        <v>16</v>
      </c>
      <c r="K851" t="s">
        <v>33</v>
      </c>
    </row>
    <row r="852" spans="1:11" x14ac:dyDescent="0.35">
      <c r="A852" t="s">
        <v>893</v>
      </c>
      <c r="B852" s="1">
        <v>45473</v>
      </c>
      <c r="C852" t="s">
        <v>24</v>
      </c>
      <c r="D852" t="s">
        <v>19</v>
      </c>
      <c r="E852" t="s">
        <v>14</v>
      </c>
      <c r="F852" t="s">
        <v>20</v>
      </c>
      <c r="G852">
        <v>16</v>
      </c>
      <c r="H852">
        <v>42512</v>
      </c>
      <c r="I852">
        <v>680192</v>
      </c>
      <c r="J852" t="s">
        <v>21</v>
      </c>
      <c r="K852" t="s">
        <v>33</v>
      </c>
    </row>
    <row r="853" spans="1:11" x14ac:dyDescent="0.35">
      <c r="A853" t="s">
        <v>894</v>
      </c>
      <c r="B853" s="1">
        <v>45556</v>
      </c>
      <c r="C853" t="s">
        <v>37</v>
      </c>
      <c r="D853" t="s">
        <v>38</v>
      </c>
      <c r="E853" t="s">
        <v>14</v>
      </c>
      <c r="F853" t="s">
        <v>62</v>
      </c>
      <c r="G853">
        <v>2</v>
      </c>
      <c r="H853">
        <v>36851</v>
      </c>
      <c r="I853">
        <v>73702</v>
      </c>
      <c r="J853" t="s">
        <v>27</v>
      </c>
      <c r="K853" t="s">
        <v>17</v>
      </c>
    </row>
    <row r="854" spans="1:11" x14ac:dyDescent="0.35">
      <c r="A854" t="s">
        <v>895</v>
      </c>
      <c r="B854" s="1">
        <v>45325</v>
      </c>
      <c r="C854" t="s">
        <v>12</v>
      </c>
      <c r="D854" t="s">
        <v>19</v>
      </c>
      <c r="E854" t="s">
        <v>14</v>
      </c>
      <c r="F854" t="s">
        <v>15</v>
      </c>
      <c r="G854">
        <v>12</v>
      </c>
      <c r="H854">
        <v>27048</v>
      </c>
      <c r="I854">
        <v>324576</v>
      </c>
      <c r="J854" t="s">
        <v>27</v>
      </c>
      <c r="K854" t="s">
        <v>17</v>
      </c>
    </row>
    <row r="855" spans="1:11" x14ac:dyDescent="0.35">
      <c r="A855" t="s">
        <v>896</v>
      </c>
      <c r="B855" s="1">
        <v>45317</v>
      </c>
      <c r="C855" t="s">
        <v>12</v>
      </c>
      <c r="D855" t="s">
        <v>38</v>
      </c>
      <c r="E855" t="s">
        <v>25</v>
      </c>
      <c r="F855" t="s">
        <v>58</v>
      </c>
      <c r="G855">
        <v>15</v>
      </c>
      <c r="H855">
        <v>9705</v>
      </c>
      <c r="I855">
        <v>145575</v>
      </c>
      <c r="J855" t="s">
        <v>27</v>
      </c>
      <c r="K855" t="s">
        <v>33</v>
      </c>
    </row>
    <row r="856" spans="1:11" x14ac:dyDescent="0.35">
      <c r="A856" t="s">
        <v>897</v>
      </c>
      <c r="B856" s="1">
        <v>45414</v>
      </c>
      <c r="C856" t="s">
        <v>12</v>
      </c>
      <c r="D856" t="s">
        <v>35</v>
      </c>
      <c r="E856" t="s">
        <v>25</v>
      </c>
      <c r="F856" t="s">
        <v>26</v>
      </c>
      <c r="G856">
        <v>5</v>
      </c>
      <c r="H856">
        <v>3482</v>
      </c>
      <c r="I856">
        <v>17410</v>
      </c>
      <c r="J856" t="s">
        <v>21</v>
      </c>
      <c r="K856" t="s">
        <v>17</v>
      </c>
    </row>
    <row r="857" spans="1:11" x14ac:dyDescent="0.35">
      <c r="A857" t="s">
        <v>898</v>
      </c>
      <c r="B857" s="1">
        <v>45437</v>
      </c>
      <c r="C857" t="s">
        <v>37</v>
      </c>
      <c r="D857" t="s">
        <v>35</v>
      </c>
      <c r="E857" t="s">
        <v>14</v>
      </c>
      <c r="F857" t="s">
        <v>15</v>
      </c>
      <c r="G857">
        <v>4</v>
      </c>
      <c r="H857">
        <v>24842</v>
      </c>
      <c r="I857">
        <v>99368</v>
      </c>
      <c r="J857" t="s">
        <v>16</v>
      </c>
      <c r="K857" t="s">
        <v>17</v>
      </c>
    </row>
    <row r="858" spans="1:11" x14ac:dyDescent="0.35">
      <c r="A858" t="s">
        <v>899</v>
      </c>
      <c r="B858" s="1">
        <v>45640</v>
      </c>
      <c r="C858" t="s">
        <v>29</v>
      </c>
      <c r="D858" t="s">
        <v>19</v>
      </c>
      <c r="E858" t="s">
        <v>25</v>
      </c>
      <c r="F858" t="s">
        <v>48</v>
      </c>
      <c r="G858">
        <v>5</v>
      </c>
      <c r="H858">
        <v>22983</v>
      </c>
      <c r="I858">
        <v>114915</v>
      </c>
      <c r="J858" t="s">
        <v>16</v>
      </c>
      <c r="K858" t="s">
        <v>17</v>
      </c>
    </row>
    <row r="859" spans="1:11" x14ac:dyDescent="0.35">
      <c r="A859" t="s">
        <v>900</v>
      </c>
      <c r="B859" s="1">
        <v>45373</v>
      </c>
      <c r="C859" t="s">
        <v>29</v>
      </c>
      <c r="D859" t="s">
        <v>19</v>
      </c>
      <c r="E859" t="s">
        <v>30</v>
      </c>
      <c r="F859" t="s">
        <v>31</v>
      </c>
      <c r="G859">
        <v>16</v>
      </c>
      <c r="H859">
        <v>16659</v>
      </c>
      <c r="I859">
        <v>266544</v>
      </c>
      <c r="J859" t="s">
        <v>27</v>
      </c>
      <c r="K859" t="s">
        <v>22</v>
      </c>
    </row>
    <row r="860" spans="1:11" x14ac:dyDescent="0.35">
      <c r="A860" t="s">
        <v>901</v>
      </c>
      <c r="B860" s="1">
        <v>45475</v>
      </c>
      <c r="C860" t="s">
        <v>24</v>
      </c>
      <c r="D860" t="s">
        <v>19</v>
      </c>
      <c r="E860" t="s">
        <v>14</v>
      </c>
      <c r="F860" t="s">
        <v>20</v>
      </c>
      <c r="G860">
        <v>15</v>
      </c>
      <c r="H860">
        <v>35689</v>
      </c>
      <c r="I860">
        <v>535335</v>
      </c>
      <c r="J860" t="s">
        <v>27</v>
      </c>
      <c r="K860" t="s">
        <v>33</v>
      </c>
    </row>
    <row r="861" spans="1:11" x14ac:dyDescent="0.35">
      <c r="A861" t="s">
        <v>902</v>
      </c>
      <c r="B861" s="1">
        <v>45436</v>
      </c>
      <c r="C861" t="s">
        <v>43</v>
      </c>
      <c r="D861" t="s">
        <v>38</v>
      </c>
      <c r="E861" t="s">
        <v>14</v>
      </c>
      <c r="F861" t="s">
        <v>20</v>
      </c>
      <c r="G861">
        <v>9</v>
      </c>
      <c r="H861">
        <v>9131</v>
      </c>
      <c r="I861">
        <v>82179</v>
      </c>
      <c r="J861" t="s">
        <v>16</v>
      </c>
      <c r="K861" t="s">
        <v>22</v>
      </c>
    </row>
    <row r="862" spans="1:11" x14ac:dyDescent="0.35">
      <c r="A862" t="s">
        <v>903</v>
      </c>
      <c r="B862" s="1">
        <v>45396</v>
      </c>
      <c r="C862" t="s">
        <v>29</v>
      </c>
      <c r="D862" t="s">
        <v>38</v>
      </c>
      <c r="E862" t="s">
        <v>39</v>
      </c>
      <c r="F862" t="s">
        <v>55</v>
      </c>
      <c r="G862">
        <v>18</v>
      </c>
      <c r="H862">
        <v>34759</v>
      </c>
      <c r="I862">
        <v>625662</v>
      </c>
      <c r="J862" t="s">
        <v>21</v>
      </c>
      <c r="K862" t="s">
        <v>22</v>
      </c>
    </row>
    <row r="863" spans="1:11" x14ac:dyDescent="0.35">
      <c r="A863" t="s">
        <v>904</v>
      </c>
      <c r="B863" s="1">
        <v>45614</v>
      </c>
      <c r="C863" t="s">
        <v>37</v>
      </c>
      <c r="D863" t="s">
        <v>35</v>
      </c>
      <c r="E863" t="s">
        <v>25</v>
      </c>
      <c r="F863" t="s">
        <v>48</v>
      </c>
      <c r="G863">
        <v>12</v>
      </c>
      <c r="H863">
        <v>23187</v>
      </c>
      <c r="I863">
        <v>278244</v>
      </c>
      <c r="J863" t="s">
        <v>21</v>
      </c>
      <c r="K863" t="s">
        <v>33</v>
      </c>
    </row>
    <row r="864" spans="1:11" x14ac:dyDescent="0.35">
      <c r="A864" t="s">
        <v>905</v>
      </c>
      <c r="B864" s="1">
        <v>45597</v>
      </c>
      <c r="C864" t="s">
        <v>29</v>
      </c>
      <c r="D864" t="s">
        <v>13</v>
      </c>
      <c r="E864" t="s">
        <v>14</v>
      </c>
      <c r="F864" t="s">
        <v>15</v>
      </c>
      <c r="G864">
        <v>3</v>
      </c>
      <c r="H864">
        <v>13756</v>
      </c>
      <c r="I864">
        <v>41268</v>
      </c>
      <c r="J864" t="s">
        <v>16</v>
      </c>
      <c r="K864" t="s">
        <v>22</v>
      </c>
    </row>
    <row r="865" spans="1:11" x14ac:dyDescent="0.35">
      <c r="A865" t="s">
        <v>906</v>
      </c>
      <c r="B865" s="1">
        <v>45368</v>
      </c>
      <c r="C865" t="s">
        <v>37</v>
      </c>
      <c r="D865" t="s">
        <v>38</v>
      </c>
      <c r="E865" t="s">
        <v>39</v>
      </c>
      <c r="F865" t="s">
        <v>55</v>
      </c>
      <c r="G865">
        <v>16</v>
      </c>
      <c r="H865">
        <v>2742</v>
      </c>
      <c r="I865">
        <v>43872</v>
      </c>
      <c r="J865" t="s">
        <v>21</v>
      </c>
      <c r="K865" t="s">
        <v>33</v>
      </c>
    </row>
    <row r="866" spans="1:11" x14ac:dyDescent="0.35">
      <c r="A866" t="s">
        <v>907</v>
      </c>
      <c r="B866" s="1">
        <v>45531</v>
      </c>
      <c r="C866" t="s">
        <v>12</v>
      </c>
      <c r="D866" t="s">
        <v>38</v>
      </c>
      <c r="E866" t="s">
        <v>39</v>
      </c>
      <c r="F866" t="s">
        <v>55</v>
      </c>
      <c r="G866">
        <v>14</v>
      </c>
      <c r="H866">
        <v>45852</v>
      </c>
      <c r="I866">
        <v>641928</v>
      </c>
      <c r="J866" t="s">
        <v>27</v>
      </c>
      <c r="K866" t="s">
        <v>22</v>
      </c>
    </row>
    <row r="867" spans="1:11" x14ac:dyDescent="0.35">
      <c r="A867" t="s">
        <v>908</v>
      </c>
      <c r="B867" s="1">
        <v>45330</v>
      </c>
      <c r="C867" t="s">
        <v>29</v>
      </c>
      <c r="D867" t="s">
        <v>13</v>
      </c>
      <c r="E867" t="s">
        <v>39</v>
      </c>
      <c r="F867" t="s">
        <v>40</v>
      </c>
      <c r="G867">
        <v>6</v>
      </c>
      <c r="H867">
        <v>38706</v>
      </c>
      <c r="I867">
        <v>232236</v>
      </c>
      <c r="J867" t="s">
        <v>21</v>
      </c>
      <c r="K867" t="s">
        <v>17</v>
      </c>
    </row>
    <row r="868" spans="1:11" x14ac:dyDescent="0.35">
      <c r="A868" t="s">
        <v>909</v>
      </c>
      <c r="B868" s="1">
        <v>45396</v>
      </c>
      <c r="C868" t="s">
        <v>37</v>
      </c>
      <c r="D868" t="s">
        <v>38</v>
      </c>
      <c r="E868" t="s">
        <v>39</v>
      </c>
      <c r="F868" t="s">
        <v>55</v>
      </c>
      <c r="G868">
        <v>8</v>
      </c>
      <c r="H868">
        <v>9803</v>
      </c>
      <c r="I868">
        <v>78424</v>
      </c>
      <c r="J868" t="s">
        <v>16</v>
      </c>
      <c r="K868" t="s">
        <v>22</v>
      </c>
    </row>
    <row r="869" spans="1:11" x14ac:dyDescent="0.35">
      <c r="A869" t="s">
        <v>910</v>
      </c>
      <c r="B869" s="1">
        <v>45349</v>
      </c>
      <c r="C869" t="s">
        <v>43</v>
      </c>
      <c r="D869" t="s">
        <v>38</v>
      </c>
      <c r="E869" t="s">
        <v>25</v>
      </c>
      <c r="F869" t="s">
        <v>48</v>
      </c>
      <c r="G869">
        <v>3</v>
      </c>
      <c r="H869">
        <v>17135</v>
      </c>
      <c r="I869">
        <v>51405</v>
      </c>
      <c r="J869" t="s">
        <v>16</v>
      </c>
      <c r="K869" t="s">
        <v>17</v>
      </c>
    </row>
    <row r="870" spans="1:11" x14ac:dyDescent="0.35">
      <c r="A870" t="s">
        <v>911</v>
      </c>
      <c r="B870" s="1">
        <v>45484</v>
      </c>
      <c r="C870" t="s">
        <v>24</v>
      </c>
      <c r="D870" t="s">
        <v>38</v>
      </c>
      <c r="E870" t="s">
        <v>39</v>
      </c>
      <c r="F870" t="s">
        <v>40</v>
      </c>
      <c r="G870">
        <v>5</v>
      </c>
      <c r="H870">
        <v>47082</v>
      </c>
      <c r="I870">
        <v>235410</v>
      </c>
      <c r="J870" t="s">
        <v>27</v>
      </c>
      <c r="K870" t="s">
        <v>33</v>
      </c>
    </row>
    <row r="871" spans="1:11" x14ac:dyDescent="0.35">
      <c r="A871" t="s">
        <v>912</v>
      </c>
      <c r="B871" s="1">
        <v>45580</v>
      </c>
      <c r="C871" t="s">
        <v>24</v>
      </c>
      <c r="D871" t="s">
        <v>19</v>
      </c>
      <c r="E871" t="s">
        <v>30</v>
      </c>
      <c r="F871" t="s">
        <v>81</v>
      </c>
      <c r="G871">
        <v>1</v>
      </c>
      <c r="H871">
        <v>22037</v>
      </c>
      <c r="I871">
        <v>22037</v>
      </c>
      <c r="J871" t="s">
        <v>32</v>
      </c>
      <c r="K871" t="s">
        <v>33</v>
      </c>
    </row>
    <row r="872" spans="1:11" x14ac:dyDescent="0.35">
      <c r="A872" t="s">
        <v>913</v>
      </c>
      <c r="B872" s="1">
        <v>45585</v>
      </c>
      <c r="C872" t="s">
        <v>29</v>
      </c>
      <c r="D872" t="s">
        <v>35</v>
      </c>
      <c r="E872" t="s">
        <v>25</v>
      </c>
      <c r="F872" t="s">
        <v>48</v>
      </c>
      <c r="G872">
        <v>20</v>
      </c>
      <c r="H872">
        <v>13035</v>
      </c>
      <c r="I872">
        <v>260700</v>
      </c>
      <c r="J872" t="s">
        <v>21</v>
      </c>
      <c r="K872" t="s">
        <v>33</v>
      </c>
    </row>
    <row r="873" spans="1:11" x14ac:dyDescent="0.35">
      <c r="A873" t="s">
        <v>914</v>
      </c>
      <c r="B873" s="1">
        <v>45316</v>
      </c>
      <c r="C873" t="s">
        <v>12</v>
      </c>
      <c r="D873" t="s">
        <v>13</v>
      </c>
      <c r="E873" t="s">
        <v>30</v>
      </c>
      <c r="F873" t="s">
        <v>31</v>
      </c>
      <c r="G873">
        <v>17</v>
      </c>
      <c r="H873">
        <v>13331</v>
      </c>
      <c r="I873">
        <v>226627</v>
      </c>
      <c r="J873" t="s">
        <v>16</v>
      </c>
      <c r="K873" t="s">
        <v>33</v>
      </c>
    </row>
    <row r="874" spans="1:11" x14ac:dyDescent="0.35">
      <c r="A874" t="s">
        <v>915</v>
      </c>
      <c r="B874" s="1">
        <v>45453</v>
      </c>
      <c r="C874" t="s">
        <v>29</v>
      </c>
      <c r="D874" t="s">
        <v>19</v>
      </c>
      <c r="E874" t="s">
        <v>39</v>
      </c>
      <c r="F874" t="s">
        <v>40</v>
      </c>
      <c r="G874">
        <v>17</v>
      </c>
      <c r="H874">
        <v>12685</v>
      </c>
      <c r="I874">
        <v>215645</v>
      </c>
      <c r="J874" t="s">
        <v>27</v>
      </c>
      <c r="K874" t="s">
        <v>33</v>
      </c>
    </row>
    <row r="875" spans="1:11" x14ac:dyDescent="0.35">
      <c r="A875" t="s">
        <v>916</v>
      </c>
      <c r="B875" s="1">
        <v>45298</v>
      </c>
      <c r="C875" t="s">
        <v>37</v>
      </c>
      <c r="D875" t="s">
        <v>13</v>
      </c>
      <c r="E875" t="s">
        <v>14</v>
      </c>
      <c r="F875" t="s">
        <v>62</v>
      </c>
      <c r="G875">
        <v>15</v>
      </c>
      <c r="H875">
        <v>34978</v>
      </c>
      <c r="I875">
        <v>524670</v>
      </c>
      <c r="J875" t="s">
        <v>21</v>
      </c>
      <c r="K875" t="s">
        <v>17</v>
      </c>
    </row>
    <row r="876" spans="1:11" x14ac:dyDescent="0.35">
      <c r="A876" t="s">
        <v>917</v>
      </c>
      <c r="B876" s="1">
        <v>45420</v>
      </c>
      <c r="C876" t="s">
        <v>43</v>
      </c>
      <c r="D876" t="s">
        <v>35</v>
      </c>
      <c r="E876" t="s">
        <v>30</v>
      </c>
      <c r="F876" t="s">
        <v>31</v>
      </c>
      <c r="G876">
        <v>13</v>
      </c>
      <c r="H876">
        <v>29274</v>
      </c>
      <c r="I876">
        <v>380562</v>
      </c>
      <c r="J876" t="s">
        <v>16</v>
      </c>
      <c r="K876" t="s">
        <v>22</v>
      </c>
    </row>
    <row r="877" spans="1:11" x14ac:dyDescent="0.35">
      <c r="A877" t="s">
        <v>918</v>
      </c>
      <c r="B877" s="1">
        <v>45344</v>
      </c>
      <c r="C877" t="s">
        <v>37</v>
      </c>
      <c r="D877" t="s">
        <v>13</v>
      </c>
      <c r="E877" t="s">
        <v>25</v>
      </c>
      <c r="F877" t="s">
        <v>58</v>
      </c>
      <c r="G877">
        <v>3</v>
      </c>
      <c r="H877">
        <v>34084</v>
      </c>
      <c r="I877">
        <v>102252</v>
      </c>
      <c r="J877" t="s">
        <v>21</v>
      </c>
      <c r="K877" t="s">
        <v>17</v>
      </c>
    </row>
    <row r="878" spans="1:11" x14ac:dyDescent="0.35">
      <c r="A878" t="s">
        <v>919</v>
      </c>
      <c r="B878" s="1">
        <v>45517</v>
      </c>
      <c r="C878" t="s">
        <v>37</v>
      </c>
      <c r="D878" t="s">
        <v>13</v>
      </c>
      <c r="E878" t="s">
        <v>25</v>
      </c>
      <c r="F878" t="s">
        <v>48</v>
      </c>
      <c r="G878">
        <v>8</v>
      </c>
      <c r="H878">
        <v>16637</v>
      </c>
      <c r="I878">
        <v>133096</v>
      </c>
      <c r="J878" t="s">
        <v>27</v>
      </c>
      <c r="K878" t="s">
        <v>17</v>
      </c>
    </row>
    <row r="879" spans="1:11" x14ac:dyDescent="0.35">
      <c r="A879" t="s">
        <v>920</v>
      </c>
      <c r="B879" s="1">
        <v>45332</v>
      </c>
      <c r="C879" t="s">
        <v>24</v>
      </c>
      <c r="D879" t="s">
        <v>19</v>
      </c>
      <c r="E879" t="s">
        <v>25</v>
      </c>
      <c r="F879" t="s">
        <v>48</v>
      </c>
      <c r="G879">
        <v>11</v>
      </c>
      <c r="H879">
        <v>24190</v>
      </c>
      <c r="I879">
        <v>266090</v>
      </c>
      <c r="J879" t="s">
        <v>21</v>
      </c>
      <c r="K879" t="s">
        <v>33</v>
      </c>
    </row>
    <row r="880" spans="1:11" x14ac:dyDescent="0.35">
      <c r="A880" t="s">
        <v>921</v>
      </c>
      <c r="B880" s="1">
        <v>45379</v>
      </c>
      <c r="C880" t="s">
        <v>24</v>
      </c>
      <c r="D880" t="s">
        <v>35</v>
      </c>
      <c r="E880" t="s">
        <v>30</v>
      </c>
      <c r="F880" t="s">
        <v>31</v>
      </c>
      <c r="G880">
        <v>9</v>
      </c>
      <c r="H880">
        <v>23839</v>
      </c>
      <c r="I880">
        <v>214551</v>
      </c>
      <c r="J880" t="s">
        <v>27</v>
      </c>
      <c r="K880" t="s">
        <v>22</v>
      </c>
    </row>
    <row r="881" spans="1:11" x14ac:dyDescent="0.35">
      <c r="A881" t="s">
        <v>922</v>
      </c>
      <c r="B881" s="1">
        <v>45429</v>
      </c>
      <c r="C881" t="s">
        <v>29</v>
      </c>
      <c r="D881" t="s">
        <v>19</v>
      </c>
      <c r="E881" t="s">
        <v>39</v>
      </c>
      <c r="F881" t="s">
        <v>40</v>
      </c>
      <c r="G881">
        <v>18</v>
      </c>
      <c r="H881">
        <v>1967</v>
      </c>
      <c r="I881">
        <v>35406</v>
      </c>
      <c r="J881" t="s">
        <v>21</v>
      </c>
      <c r="K881" t="s">
        <v>22</v>
      </c>
    </row>
    <row r="882" spans="1:11" x14ac:dyDescent="0.35">
      <c r="A882" t="s">
        <v>923</v>
      </c>
      <c r="B882" s="1">
        <v>45597</v>
      </c>
      <c r="C882" t="s">
        <v>37</v>
      </c>
      <c r="D882" t="s">
        <v>38</v>
      </c>
      <c r="E882" t="s">
        <v>25</v>
      </c>
      <c r="F882" t="s">
        <v>58</v>
      </c>
      <c r="G882">
        <v>12</v>
      </c>
      <c r="H882">
        <v>46799</v>
      </c>
      <c r="I882">
        <v>561588</v>
      </c>
      <c r="J882" t="s">
        <v>32</v>
      </c>
      <c r="K882" t="s">
        <v>22</v>
      </c>
    </row>
    <row r="883" spans="1:11" x14ac:dyDescent="0.35">
      <c r="A883" t="s">
        <v>924</v>
      </c>
      <c r="B883" s="1">
        <v>45533</v>
      </c>
      <c r="C883" t="s">
        <v>24</v>
      </c>
      <c r="D883" t="s">
        <v>38</v>
      </c>
      <c r="E883" t="s">
        <v>25</v>
      </c>
      <c r="F883" t="s">
        <v>48</v>
      </c>
      <c r="G883">
        <v>16</v>
      </c>
      <c r="H883">
        <v>27764</v>
      </c>
      <c r="I883">
        <v>444224</v>
      </c>
      <c r="J883" t="s">
        <v>27</v>
      </c>
      <c r="K883" t="s">
        <v>22</v>
      </c>
    </row>
    <row r="884" spans="1:11" x14ac:dyDescent="0.35">
      <c r="A884" t="s">
        <v>925</v>
      </c>
      <c r="B884" s="1">
        <v>45515</v>
      </c>
      <c r="C884" t="s">
        <v>43</v>
      </c>
      <c r="D884" t="s">
        <v>13</v>
      </c>
      <c r="E884" t="s">
        <v>14</v>
      </c>
      <c r="F884" t="s">
        <v>62</v>
      </c>
      <c r="G884">
        <v>16</v>
      </c>
      <c r="H884">
        <v>38718</v>
      </c>
      <c r="I884">
        <v>619488</v>
      </c>
      <c r="J884" t="s">
        <v>32</v>
      </c>
      <c r="K884" t="s">
        <v>17</v>
      </c>
    </row>
    <row r="885" spans="1:11" x14ac:dyDescent="0.35">
      <c r="A885" t="s">
        <v>926</v>
      </c>
      <c r="B885" s="1">
        <v>45380</v>
      </c>
      <c r="C885" t="s">
        <v>43</v>
      </c>
      <c r="D885" t="s">
        <v>19</v>
      </c>
      <c r="E885" t="s">
        <v>30</v>
      </c>
      <c r="F885" t="s">
        <v>44</v>
      </c>
      <c r="G885">
        <v>8</v>
      </c>
      <c r="H885">
        <v>21246</v>
      </c>
      <c r="I885">
        <v>169968</v>
      </c>
      <c r="J885" t="s">
        <v>27</v>
      </c>
      <c r="K885" t="s">
        <v>33</v>
      </c>
    </row>
    <row r="886" spans="1:11" x14ac:dyDescent="0.35">
      <c r="A886" t="s">
        <v>927</v>
      </c>
      <c r="B886" s="1">
        <v>45524</v>
      </c>
      <c r="C886" t="s">
        <v>29</v>
      </c>
      <c r="D886" t="s">
        <v>35</v>
      </c>
      <c r="E886" t="s">
        <v>25</v>
      </c>
      <c r="F886" t="s">
        <v>58</v>
      </c>
      <c r="G886">
        <v>17</v>
      </c>
      <c r="H886">
        <v>31762</v>
      </c>
      <c r="I886">
        <v>539954</v>
      </c>
      <c r="J886" t="s">
        <v>32</v>
      </c>
      <c r="K886" t="s">
        <v>22</v>
      </c>
    </row>
    <row r="887" spans="1:11" x14ac:dyDescent="0.35">
      <c r="A887" t="s">
        <v>928</v>
      </c>
      <c r="B887" s="1">
        <v>45585</v>
      </c>
      <c r="C887" t="s">
        <v>24</v>
      </c>
      <c r="D887" t="s">
        <v>19</v>
      </c>
      <c r="E887" t="s">
        <v>14</v>
      </c>
      <c r="F887" t="s">
        <v>20</v>
      </c>
      <c r="G887">
        <v>13</v>
      </c>
      <c r="H887">
        <v>28994</v>
      </c>
      <c r="I887">
        <v>376922</v>
      </c>
      <c r="J887" t="s">
        <v>16</v>
      </c>
      <c r="K887" t="s">
        <v>33</v>
      </c>
    </row>
    <row r="888" spans="1:11" x14ac:dyDescent="0.35">
      <c r="A888" t="s">
        <v>929</v>
      </c>
      <c r="B888" s="1">
        <v>45375</v>
      </c>
      <c r="C888" t="s">
        <v>43</v>
      </c>
      <c r="D888" t="s">
        <v>35</v>
      </c>
      <c r="E888" t="s">
        <v>14</v>
      </c>
      <c r="F888" t="s">
        <v>62</v>
      </c>
      <c r="G888">
        <v>9</v>
      </c>
      <c r="H888">
        <v>49576</v>
      </c>
      <c r="I888">
        <v>446184</v>
      </c>
      <c r="J888" t="s">
        <v>16</v>
      </c>
      <c r="K888" t="s">
        <v>33</v>
      </c>
    </row>
    <row r="889" spans="1:11" x14ac:dyDescent="0.35">
      <c r="A889" t="s">
        <v>930</v>
      </c>
      <c r="B889" s="1">
        <v>45525</v>
      </c>
      <c r="C889" t="s">
        <v>29</v>
      </c>
      <c r="D889" t="s">
        <v>35</v>
      </c>
      <c r="E889" t="s">
        <v>25</v>
      </c>
      <c r="F889" t="s">
        <v>26</v>
      </c>
      <c r="G889">
        <v>11</v>
      </c>
      <c r="H889">
        <v>17660</v>
      </c>
      <c r="I889">
        <v>194260</v>
      </c>
      <c r="J889" t="s">
        <v>21</v>
      </c>
      <c r="K889" t="s">
        <v>33</v>
      </c>
    </row>
    <row r="890" spans="1:11" x14ac:dyDescent="0.35">
      <c r="A890" t="s">
        <v>931</v>
      </c>
      <c r="B890" s="1">
        <v>45504</v>
      </c>
      <c r="C890" t="s">
        <v>37</v>
      </c>
      <c r="D890" t="s">
        <v>38</v>
      </c>
      <c r="E890" t="s">
        <v>14</v>
      </c>
      <c r="F890" t="s">
        <v>20</v>
      </c>
      <c r="G890">
        <v>2</v>
      </c>
      <c r="H890">
        <v>42180</v>
      </c>
      <c r="I890">
        <v>84360</v>
      </c>
      <c r="J890" t="s">
        <v>32</v>
      </c>
      <c r="K890" t="s">
        <v>22</v>
      </c>
    </row>
    <row r="891" spans="1:11" x14ac:dyDescent="0.35">
      <c r="A891" t="s">
        <v>932</v>
      </c>
      <c r="B891" s="1">
        <v>45351</v>
      </c>
      <c r="C891" t="s">
        <v>43</v>
      </c>
      <c r="D891" t="s">
        <v>19</v>
      </c>
      <c r="E891" t="s">
        <v>30</v>
      </c>
      <c r="F891" t="s">
        <v>81</v>
      </c>
      <c r="G891">
        <v>19</v>
      </c>
      <c r="H891">
        <v>2086</v>
      </c>
      <c r="I891">
        <v>39634</v>
      </c>
      <c r="J891" t="s">
        <v>16</v>
      </c>
      <c r="K891" t="s">
        <v>33</v>
      </c>
    </row>
    <row r="892" spans="1:11" x14ac:dyDescent="0.35">
      <c r="A892" t="s">
        <v>933</v>
      </c>
      <c r="B892" s="1">
        <v>45397</v>
      </c>
      <c r="C892" t="s">
        <v>12</v>
      </c>
      <c r="D892" t="s">
        <v>19</v>
      </c>
      <c r="E892" t="s">
        <v>30</v>
      </c>
      <c r="F892" t="s">
        <v>44</v>
      </c>
      <c r="G892">
        <v>18</v>
      </c>
      <c r="H892">
        <v>25515</v>
      </c>
      <c r="I892">
        <v>459270</v>
      </c>
      <c r="J892" t="s">
        <v>32</v>
      </c>
      <c r="K892" t="s">
        <v>17</v>
      </c>
    </row>
    <row r="893" spans="1:11" x14ac:dyDescent="0.35">
      <c r="A893" t="s">
        <v>934</v>
      </c>
      <c r="B893" s="1">
        <v>45553</v>
      </c>
      <c r="C893" t="s">
        <v>12</v>
      </c>
      <c r="D893" t="s">
        <v>19</v>
      </c>
      <c r="E893" t="s">
        <v>39</v>
      </c>
      <c r="F893" t="s">
        <v>55</v>
      </c>
      <c r="G893">
        <v>3</v>
      </c>
      <c r="H893">
        <v>13936</v>
      </c>
      <c r="I893">
        <v>41808</v>
      </c>
      <c r="J893" t="s">
        <v>16</v>
      </c>
      <c r="K893" t="s">
        <v>17</v>
      </c>
    </row>
    <row r="894" spans="1:11" x14ac:dyDescent="0.35">
      <c r="A894" t="s">
        <v>935</v>
      </c>
      <c r="B894" s="1">
        <v>45598</v>
      </c>
      <c r="C894" t="s">
        <v>12</v>
      </c>
      <c r="D894" t="s">
        <v>38</v>
      </c>
      <c r="E894" t="s">
        <v>30</v>
      </c>
      <c r="F894" t="s">
        <v>31</v>
      </c>
      <c r="G894">
        <v>11</v>
      </c>
      <c r="H894">
        <v>36551</v>
      </c>
      <c r="I894">
        <v>402061</v>
      </c>
      <c r="J894" t="s">
        <v>21</v>
      </c>
      <c r="K894" t="s">
        <v>22</v>
      </c>
    </row>
    <row r="895" spans="1:11" x14ac:dyDescent="0.35">
      <c r="A895" t="s">
        <v>936</v>
      </c>
      <c r="B895" s="1">
        <v>45618</v>
      </c>
      <c r="C895" t="s">
        <v>29</v>
      </c>
      <c r="D895" t="s">
        <v>19</v>
      </c>
      <c r="E895" t="s">
        <v>14</v>
      </c>
      <c r="F895" t="s">
        <v>62</v>
      </c>
      <c r="G895">
        <v>8</v>
      </c>
      <c r="H895">
        <v>23499</v>
      </c>
      <c r="I895">
        <v>187992</v>
      </c>
      <c r="J895" t="s">
        <v>32</v>
      </c>
      <c r="K895" t="s">
        <v>33</v>
      </c>
    </row>
    <row r="896" spans="1:11" x14ac:dyDescent="0.35">
      <c r="A896" t="s">
        <v>937</v>
      </c>
      <c r="B896" s="1">
        <v>45315</v>
      </c>
      <c r="C896" t="s">
        <v>37</v>
      </c>
      <c r="D896" t="s">
        <v>13</v>
      </c>
      <c r="E896" t="s">
        <v>14</v>
      </c>
      <c r="F896" t="s">
        <v>15</v>
      </c>
      <c r="G896">
        <v>14</v>
      </c>
      <c r="H896">
        <v>8963</v>
      </c>
      <c r="I896">
        <v>125482</v>
      </c>
      <c r="J896" t="s">
        <v>21</v>
      </c>
      <c r="K896" t="s">
        <v>17</v>
      </c>
    </row>
    <row r="897" spans="1:11" x14ac:dyDescent="0.35">
      <c r="A897" t="s">
        <v>938</v>
      </c>
      <c r="B897" s="1">
        <v>45390</v>
      </c>
      <c r="C897" t="s">
        <v>12</v>
      </c>
      <c r="D897" t="s">
        <v>13</v>
      </c>
      <c r="E897" t="s">
        <v>14</v>
      </c>
      <c r="F897" t="s">
        <v>20</v>
      </c>
      <c r="G897">
        <v>7</v>
      </c>
      <c r="H897">
        <v>16321</v>
      </c>
      <c r="I897">
        <v>114247</v>
      </c>
      <c r="J897" t="s">
        <v>21</v>
      </c>
      <c r="K897" t="s">
        <v>33</v>
      </c>
    </row>
    <row r="898" spans="1:11" x14ac:dyDescent="0.35">
      <c r="A898" t="s">
        <v>939</v>
      </c>
      <c r="B898" s="1">
        <v>45391</v>
      </c>
      <c r="C898" t="s">
        <v>12</v>
      </c>
      <c r="D898" t="s">
        <v>35</v>
      </c>
      <c r="E898" t="s">
        <v>14</v>
      </c>
      <c r="F898" t="s">
        <v>15</v>
      </c>
      <c r="G898">
        <v>13</v>
      </c>
      <c r="H898">
        <v>41699</v>
      </c>
      <c r="I898">
        <v>542087</v>
      </c>
      <c r="J898" t="s">
        <v>16</v>
      </c>
      <c r="K898" t="s">
        <v>22</v>
      </c>
    </row>
    <row r="899" spans="1:11" x14ac:dyDescent="0.35">
      <c r="A899" t="s">
        <v>940</v>
      </c>
      <c r="B899" s="1">
        <v>45301</v>
      </c>
      <c r="C899" t="s">
        <v>43</v>
      </c>
      <c r="D899" t="s">
        <v>19</v>
      </c>
      <c r="E899" t="s">
        <v>14</v>
      </c>
      <c r="F899" t="s">
        <v>20</v>
      </c>
      <c r="G899">
        <v>2</v>
      </c>
      <c r="H899">
        <v>35091</v>
      </c>
      <c r="I899">
        <v>70182</v>
      </c>
      <c r="J899" t="s">
        <v>21</v>
      </c>
      <c r="K899" t="s">
        <v>33</v>
      </c>
    </row>
    <row r="900" spans="1:11" x14ac:dyDescent="0.35">
      <c r="A900" t="s">
        <v>941</v>
      </c>
      <c r="B900" s="1">
        <v>45482</v>
      </c>
      <c r="C900" t="s">
        <v>37</v>
      </c>
      <c r="D900" t="s">
        <v>13</v>
      </c>
      <c r="E900" t="s">
        <v>30</v>
      </c>
      <c r="F900" t="s">
        <v>44</v>
      </c>
      <c r="G900">
        <v>10</v>
      </c>
      <c r="H900">
        <v>28738</v>
      </c>
      <c r="I900">
        <v>287380</v>
      </c>
      <c r="J900" t="s">
        <v>32</v>
      </c>
      <c r="K900" t="s">
        <v>22</v>
      </c>
    </row>
    <row r="901" spans="1:11" x14ac:dyDescent="0.35">
      <c r="A901" t="s">
        <v>942</v>
      </c>
      <c r="B901" s="1">
        <v>45381</v>
      </c>
      <c r="C901" t="s">
        <v>37</v>
      </c>
      <c r="D901" t="s">
        <v>19</v>
      </c>
      <c r="E901" t="s">
        <v>14</v>
      </c>
      <c r="F901" t="s">
        <v>15</v>
      </c>
      <c r="G901">
        <v>19</v>
      </c>
      <c r="H901">
        <v>23843</v>
      </c>
      <c r="I901">
        <v>453017</v>
      </c>
      <c r="J901" t="s">
        <v>16</v>
      </c>
      <c r="K901" t="s">
        <v>22</v>
      </c>
    </row>
    <row r="902" spans="1:11" x14ac:dyDescent="0.35">
      <c r="A902" t="s">
        <v>943</v>
      </c>
      <c r="B902" s="1">
        <v>45640</v>
      </c>
      <c r="C902" t="s">
        <v>43</v>
      </c>
      <c r="D902" t="s">
        <v>38</v>
      </c>
      <c r="E902" t="s">
        <v>14</v>
      </c>
      <c r="F902" t="s">
        <v>15</v>
      </c>
      <c r="G902">
        <v>12</v>
      </c>
      <c r="H902">
        <v>49266</v>
      </c>
      <c r="I902">
        <v>591192</v>
      </c>
      <c r="J902" t="s">
        <v>16</v>
      </c>
      <c r="K902" t="s">
        <v>22</v>
      </c>
    </row>
    <row r="903" spans="1:11" x14ac:dyDescent="0.35">
      <c r="A903" t="s">
        <v>944</v>
      </c>
      <c r="B903" s="1">
        <v>45294</v>
      </c>
      <c r="C903" t="s">
        <v>29</v>
      </c>
      <c r="D903" t="s">
        <v>19</v>
      </c>
      <c r="E903" t="s">
        <v>39</v>
      </c>
      <c r="F903" t="s">
        <v>55</v>
      </c>
      <c r="G903">
        <v>14</v>
      </c>
      <c r="H903">
        <v>12234</v>
      </c>
      <c r="I903">
        <v>171276</v>
      </c>
      <c r="J903" t="s">
        <v>16</v>
      </c>
      <c r="K903" t="s">
        <v>17</v>
      </c>
    </row>
    <row r="904" spans="1:11" x14ac:dyDescent="0.35">
      <c r="A904" t="s">
        <v>945</v>
      </c>
      <c r="B904" s="1">
        <v>45564</v>
      </c>
      <c r="C904" t="s">
        <v>29</v>
      </c>
      <c r="D904" t="s">
        <v>19</v>
      </c>
      <c r="E904" t="s">
        <v>39</v>
      </c>
      <c r="F904" t="s">
        <v>40</v>
      </c>
      <c r="G904">
        <v>9</v>
      </c>
      <c r="H904">
        <v>12475</v>
      </c>
      <c r="I904">
        <v>112275</v>
      </c>
      <c r="J904" t="s">
        <v>21</v>
      </c>
      <c r="K904" t="s">
        <v>17</v>
      </c>
    </row>
    <row r="905" spans="1:11" x14ac:dyDescent="0.35">
      <c r="A905" t="s">
        <v>946</v>
      </c>
      <c r="B905" s="1">
        <v>45506</v>
      </c>
      <c r="C905" t="s">
        <v>43</v>
      </c>
      <c r="D905" t="s">
        <v>35</v>
      </c>
      <c r="E905" t="s">
        <v>39</v>
      </c>
      <c r="F905" t="s">
        <v>40</v>
      </c>
      <c r="G905">
        <v>16</v>
      </c>
      <c r="H905">
        <v>6232</v>
      </c>
      <c r="I905">
        <v>99712</v>
      </c>
      <c r="J905" t="s">
        <v>27</v>
      </c>
      <c r="K905" t="s">
        <v>22</v>
      </c>
    </row>
    <row r="906" spans="1:11" x14ac:dyDescent="0.35">
      <c r="A906" t="s">
        <v>947</v>
      </c>
      <c r="B906" s="1">
        <v>45637</v>
      </c>
      <c r="C906" t="s">
        <v>37</v>
      </c>
      <c r="D906" t="s">
        <v>35</v>
      </c>
      <c r="E906" t="s">
        <v>25</v>
      </c>
      <c r="F906" t="s">
        <v>58</v>
      </c>
      <c r="G906">
        <v>3</v>
      </c>
      <c r="H906">
        <v>25484</v>
      </c>
      <c r="I906">
        <v>76452</v>
      </c>
      <c r="J906" t="s">
        <v>16</v>
      </c>
      <c r="K906" t="s">
        <v>22</v>
      </c>
    </row>
    <row r="907" spans="1:11" x14ac:dyDescent="0.35">
      <c r="A907" t="s">
        <v>948</v>
      </c>
      <c r="B907" s="1">
        <v>45578</v>
      </c>
      <c r="C907" t="s">
        <v>24</v>
      </c>
      <c r="D907" t="s">
        <v>19</v>
      </c>
      <c r="E907" t="s">
        <v>25</v>
      </c>
      <c r="F907" t="s">
        <v>48</v>
      </c>
      <c r="G907">
        <v>16</v>
      </c>
      <c r="H907">
        <v>17237</v>
      </c>
      <c r="I907">
        <v>275792</v>
      </c>
      <c r="J907" t="s">
        <v>27</v>
      </c>
      <c r="K907" t="s">
        <v>33</v>
      </c>
    </row>
    <row r="908" spans="1:11" x14ac:dyDescent="0.35">
      <c r="A908" t="s">
        <v>949</v>
      </c>
      <c r="B908" s="1">
        <v>45428</v>
      </c>
      <c r="C908" t="s">
        <v>37</v>
      </c>
      <c r="D908" t="s">
        <v>13</v>
      </c>
      <c r="E908" t="s">
        <v>14</v>
      </c>
      <c r="F908" t="s">
        <v>20</v>
      </c>
      <c r="G908">
        <v>11</v>
      </c>
      <c r="H908">
        <v>44369</v>
      </c>
      <c r="I908">
        <v>488059</v>
      </c>
      <c r="J908" t="s">
        <v>21</v>
      </c>
      <c r="K908" t="s">
        <v>33</v>
      </c>
    </row>
    <row r="909" spans="1:11" x14ac:dyDescent="0.35">
      <c r="A909" t="s">
        <v>950</v>
      </c>
      <c r="B909" s="1">
        <v>45444</v>
      </c>
      <c r="C909" t="s">
        <v>29</v>
      </c>
      <c r="D909" t="s">
        <v>35</v>
      </c>
      <c r="E909" t="s">
        <v>25</v>
      </c>
      <c r="F909" t="s">
        <v>26</v>
      </c>
      <c r="G909">
        <v>3</v>
      </c>
      <c r="H909">
        <v>28210</v>
      </c>
      <c r="I909">
        <v>84630</v>
      </c>
      <c r="J909" t="s">
        <v>16</v>
      </c>
      <c r="K909" t="s">
        <v>17</v>
      </c>
    </row>
    <row r="910" spans="1:11" x14ac:dyDescent="0.35">
      <c r="A910" t="s">
        <v>951</v>
      </c>
      <c r="B910" s="1">
        <v>45644</v>
      </c>
      <c r="C910" t="s">
        <v>29</v>
      </c>
      <c r="D910" t="s">
        <v>35</v>
      </c>
      <c r="E910" t="s">
        <v>39</v>
      </c>
      <c r="F910" t="s">
        <v>65</v>
      </c>
      <c r="G910">
        <v>18</v>
      </c>
      <c r="H910">
        <v>43162</v>
      </c>
      <c r="I910">
        <v>776916</v>
      </c>
      <c r="J910" t="s">
        <v>21</v>
      </c>
      <c r="K910" t="s">
        <v>17</v>
      </c>
    </row>
    <row r="911" spans="1:11" x14ac:dyDescent="0.35">
      <c r="A911" t="s">
        <v>952</v>
      </c>
      <c r="B911" s="1">
        <v>45590</v>
      </c>
      <c r="C911" t="s">
        <v>29</v>
      </c>
      <c r="D911" t="s">
        <v>19</v>
      </c>
      <c r="E911" t="s">
        <v>14</v>
      </c>
      <c r="F911" t="s">
        <v>15</v>
      </c>
      <c r="G911">
        <v>19</v>
      </c>
      <c r="H911">
        <v>32750</v>
      </c>
      <c r="I911">
        <v>622250</v>
      </c>
      <c r="J911" t="s">
        <v>21</v>
      </c>
      <c r="K911" t="s">
        <v>33</v>
      </c>
    </row>
    <row r="912" spans="1:11" x14ac:dyDescent="0.35">
      <c r="A912" t="s">
        <v>953</v>
      </c>
      <c r="B912" s="1">
        <v>45299</v>
      </c>
      <c r="C912" t="s">
        <v>29</v>
      </c>
      <c r="D912" t="s">
        <v>19</v>
      </c>
      <c r="E912" t="s">
        <v>25</v>
      </c>
      <c r="F912" t="s">
        <v>58</v>
      </c>
      <c r="G912">
        <v>5</v>
      </c>
      <c r="H912">
        <v>17597</v>
      </c>
      <c r="I912">
        <v>87985</v>
      </c>
      <c r="J912" t="s">
        <v>21</v>
      </c>
      <c r="K912" t="s">
        <v>17</v>
      </c>
    </row>
    <row r="913" spans="1:11" x14ac:dyDescent="0.35">
      <c r="A913" t="s">
        <v>954</v>
      </c>
      <c r="B913" s="1">
        <v>45478</v>
      </c>
      <c r="C913" t="s">
        <v>24</v>
      </c>
      <c r="D913" t="s">
        <v>19</v>
      </c>
      <c r="E913" t="s">
        <v>30</v>
      </c>
      <c r="F913" t="s">
        <v>31</v>
      </c>
      <c r="G913">
        <v>17</v>
      </c>
      <c r="H913">
        <v>27382</v>
      </c>
      <c r="I913">
        <v>465494</v>
      </c>
      <c r="J913" t="s">
        <v>27</v>
      </c>
      <c r="K913" t="s">
        <v>17</v>
      </c>
    </row>
    <row r="914" spans="1:11" x14ac:dyDescent="0.35">
      <c r="A914" t="s">
        <v>955</v>
      </c>
      <c r="B914" s="1">
        <v>45587</v>
      </c>
      <c r="C914" t="s">
        <v>37</v>
      </c>
      <c r="D914" t="s">
        <v>38</v>
      </c>
      <c r="E914" t="s">
        <v>14</v>
      </c>
      <c r="F914" t="s">
        <v>62</v>
      </c>
      <c r="G914">
        <v>7</v>
      </c>
      <c r="H914">
        <v>6575</v>
      </c>
      <c r="I914">
        <v>46025</v>
      </c>
      <c r="J914" t="s">
        <v>16</v>
      </c>
      <c r="K914" t="s">
        <v>17</v>
      </c>
    </row>
    <row r="915" spans="1:11" x14ac:dyDescent="0.35">
      <c r="A915" t="s">
        <v>956</v>
      </c>
      <c r="B915" s="1">
        <v>45312</v>
      </c>
      <c r="C915" t="s">
        <v>37</v>
      </c>
      <c r="D915" t="s">
        <v>19</v>
      </c>
      <c r="E915" t="s">
        <v>39</v>
      </c>
      <c r="F915" t="s">
        <v>65</v>
      </c>
      <c r="G915">
        <v>6</v>
      </c>
      <c r="H915">
        <v>49350</v>
      </c>
      <c r="I915">
        <v>296100</v>
      </c>
      <c r="J915" t="s">
        <v>16</v>
      </c>
      <c r="K915" t="s">
        <v>33</v>
      </c>
    </row>
    <row r="916" spans="1:11" x14ac:dyDescent="0.35">
      <c r="A916" t="s">
        <v>957</v>
      </c>
      <c r="B916" s="1">
        <v>45621</v>
      </c>
      <c r="C916" t="s">
        <v>43</v>
      </c>
      <c r="D916" t="s">
        <v>35</v>
      </c>
      <c r="E916" t="s">
        <v>30</v>
      </c>
      <c r="F916" t="s">
        <v>31</v>
      </c>
      <c r="G916">
        <v>20</v>
      </c>
      <c r="H916">
        <v>28817</v>
      </c>
      <c r="I916">
        <v>576340</v>
      </c>
      <c r="J916" t="s">
        <v>21</v>
      </c>
      <c r="K916" t="s">
        <v>33</v>
      </c>
    </row>
    <row r="917" spans="1:11" x14ac:dyDescent="0.35">
      <c r="A917" t="s">
        <v>958</v>
      </c>
      <c r="B917" s="1">
        <v>45606</v>
      </c>
      <c r="C917" t="s">
        <v>37</v>
      </c>
      <c r="D917" t="s">
        <v>35</v>
      </c>
      <c r="E917" t="s">
        <v>25</v>
      </c>
      <c r="F917" t="s">
        <v>58</v>
      </c>
      <c r="G917">
        <v>10</v>
      </c>
      <c r="H917">
        <v>5202</v>
      </c>
      <c r="I917">
        <v>52020</v>
      </c>
      <c r="J917" t="s">
        <v>32</v>
      </c>
      <c r="K917" t="s">
        <v>22</v>
      </c>
    </row>
    <row r="918" spans="1:11" x14ac:dyDescent="0.35">
      <c r="A918" t="s">
        <v>959</v>
      </c>
      <c r="B918" s="1">
        <v>45492</v>
      </c>
      <c r="C918" t="s">
        <v>24</v>
      </c>
      <c r="D918" t="s">
        <v>19</v>
      </c>
      <c r="E918" t="s">
        <v>30</v>
      </c>
      <c r="F918" t="s">
        <v>81</v>
      </c>
      <c r="G918">
        <v>6</v>
      </c>
      <c r="H918">
        <v>4165</v>
      </c>
      <c r="I918">
        <v>24990</v>
      </c>
      <c r="J918" t="s">
        <v>27</v>
      </c>
      <c r="K918" t="s">
        <v>17</v>
      </c>
    </row>
    <row r="919" spans="1:11" x14ac:dyDescent="0.35">
      <c r="A919" t="s">
        <v>960</v>
      </c>
      <c r="B919" s="1">
        <v>45373</v>
      </c>
      <c r="C919" t="s">
        <v>43</v>
      </c>
      <c r="D919" t="s">
        <v>19</v>
      </c>
      <c r="E919" t="s">
        <v>25</v>
      </c>
      <c r="F919" t="s">
        <v>26</v>
      </c>
      <c r="G919">
        <v>7</v>
      </c>
      <c r="H919">
        <v>38924</v>
      </c>
      <c r="I919">
        <v>272468</v>
      </c>
      <c r="J919" t="s">
        <v>21</v>
      </c>
      <c r="K919" t="s">
        <v>33</v>
      </c>
    </row>
    <row r="920" spans="1:11" x14ac:dyDescent="0.35">
      <c r="A920" t="s">
        <v>961</v>
      </c>
      <c r="B920" s="1">
        <v>45351</v>
      </c>
      <c r="C920" t="s">
        <v>37</v>
      </c>
      <c r="D920" t="s">
        <v>13</v>
      </c>
      <c r="E920" t="s">
        <v>14</v>
      </c>
      <c r="F920" t="s">
        <v>20</v>
      </c>
      <c r="G920">
        <v>16</v>
      </c>
      <c r="H920">
        <v>9038</v>
      </c>
      <c r="I920">
        <v>144608</v>
      </c>
      <c r="J920" t="s">
        <v>27</v>
      </c>
      <c r="K920" t="s">
        <v>22</v>
      </c>
    </row>
    <row r="921" spans="1:11" x14ac:dyDescent="0.35">
      <c r="A921" t="s">
        <v>962</v>
      </c>
      <c r="B921" s="1">
        <v>45316</v>
      </c>
      <c r="C921" t="s">
        <v>29</v>
      </c>
      <c r="D921" t="s">
        <v>35</v>
      </c>
      <c r="E921" t="s">
        <v>14</v>
      </c>
      <c r="F921" t="s">
        <v>20</v>
      </c>
      <c r="G921">
        <v>11</v>
      </c>
      <c r="H921">
        <v>14303</v>
      </c>
      <c r="I921">
        <v>157333</v>
      </c>
      <c r="J921" t="s">
        <v>32</v>
      </c>
      <c r="K921" t="s">
        <v>33</v>
      </c>
    </row>
    <row r="922" spans="1:11" x14ac:dyDescent="0.35">
      <c r="A922" t="s">
        <v>963</v>
      </c>
      <c r="B922" s="1">
        <v>45541</v>
      </c>
      <c r="C922" t="s">
        <v>24</v>
      </c>
      <c r="D922" t="s">
        <v>35</v>
      </c>
      <c r="E922" t="s">
        <v>30</v>
      </c>
      <c r="F922" t="s">
        <v>44</v>
      </c>
      <c r="G922">
        <v>18</v>
      </c>
      <c r="H922">
        <v>29173</v>
      </c>
      <c r="I922">
        <v>525114</v>
      </c>
      <c r="J922" t="s">
        <v>32</v>
      </c>
      <c r="K922" t="s">
        <v>17</v>
      </c>
    </row>
    <row r="923" spans="1:11" x14ac:dyDescent="0.35">
      <c r="A923" t="s">
        <v>964</v>
      </c>
      <c r="B923" s="1">
        <v>45386</v>
      </c>
      <c r="C923" t="s">
        <v>37</v>
      </c>
      <c r="D923" t="s">
        <v>38</v>
      </c>
      <c r="E923" t="s">
        <v>25</v>
      </c>
      <c r="F923" t="s">
        <v>58</v>
      </c>
      <c r="G923">
        <v>17</v>
      </c>
      <c r="H923">
        <v>21809</v>
      </c>
      <c r="I923">
        <v>370753</v>
      </c>
      <c r="J923" t="s">
        <v>27</v>
      </c>
      <c r="K923" t="s">
        <v>17</v>
      </c>
    </row>
    <row r="924" spans="1:11" x14ac:dyDescent="0.35">
      <c r="A924" t="s">
        <v>965</v>
      </c>
      <c r="B924" s="1">
        <v>45350</v>
      </c>
      <c r="C924" t="s">
        <v>43</v>
      </c>
      <c r="D924" t="s">
        <v>13</v>
      </c>
      <c r="E924" t="s">
        <v>30</v>
      </c>
      <c r="F924" t="s">
        <v>44</v>
      </c>
      <c r="G924">
        <v>12</v>
      </c>
      <c r="H924">
        <v>26791</v>
      </c>
      <c r="I924">
        <v>321492</v>
      </c>
      <c r="J924" t="s">
        <v>27</v>
      </c>
      <c r="K924" t="s">
        <v>33</v>
      </c>
    </row>
    <row r="925" spans="1:11" x14ac:dyDescent="0.35">
      <c r="A925" t="s">
        <v>966</v>
      </c>
      <c r="B925" s="1">
        <v>45640</v>
      </c>
      <c r="C925" t="s">
        <v>37</v>
      </c>
      <c r="D925" t="s">
        <v>13</v>
      </c>
      <c r="E925" t="s">
        <v>39</v>
      </c>
      <c r="F925" t="s">
        <v>65</v>
      </c>
      <c r="G925">
        <v>12</v>
      </c>
      <c r="H925">
        <v>37327</v>
      </c>
      <c r="I925">
        <v>447924</v>
      </c>
      <c r="J925" t="s">
        <v>21</v>
      </c>
      <c r="K925" t="s">
        <v>33</v>
      </c>
    </row>
    <row r="926" spans="1:11" x14ac:dyDescent="0.35">
      <c r="A926" t="s">
        <v>967</v>
      </c>
      <c r="B926" s="1">
        <v>45512</v>
      </c>
      <c r="C926" t="s">
        <v>43</v>
      </c>
      <c r="D926" t="s">
        <v>38</v>
      </c>
      <c r="E926" t="s">
        <v>25</v>
      </c>
      <c r="F926" t="s">
        <v>58</v>
      </c>
      <c r="G926">
        <v>20</v>
      </c>
      <c r="H926">
        <v>37427</v>
      </c>
      <c r="I926">
        <v>748540</v>
      </c>
      <c r="J926" t="s">
        <v>16</v>
      </c>
      <c r="K926" t="s">
        <v>17</v>
      </c>
    </row>
    <row r="927" spans="1:11" x14ac:dyDescent="0.35">
      <c r="A927" t="s">
        <v>968</v>
      </c>
      <c r="B927" s="1">
        <v>45403</v>
      </c>
      <c r="C927" t="s">
        <v>12</v>
      </c>
      <c r="D927" t="s">
        <v>19</v>
      </c>
      <c r="E927" t="s">
        <v>14</v>
      </c>
      <c r="F927" t="s">
        <v>20</v>
      </c>
      <c r="G927">
        <v>12</v>
      </c>
      <c r="H927">
        <v>6014</v>
      </c>
      <c r="I927">
        <v>72168</v>
      </c>
      <c r="J927" t="s">
        <v>16</v>
      </c>
      <c r="K927" t="s">
        <v>22</v>
      </c>
    </row>
    <row r="928" spans="1:11" x14ac:dyDescent="0.35">
      <c r="A928" t="s">
        <v>969</v>
      </c>
      <c r="B928" s="1">
        <v>45579</v>
      </c>
      <c r="C928" t="s">
        <v>24</v>
      </c>
      <c r="D928" t="s">
        <v>13</v>
      </c>
      <c r="E928" t="s">
        <v>25</v>
      </c>
      <c r="F928" t="s">
        <v>58</v>
      </c>
      <c r="G928">
        <v>8</v>
      </c>
      <c r="H928">
        <v>36651</v>
      </c>
      <c r="I928">
        <v>293208</v>
      </c>
      <c r="J928" t="s">
        <v>32</v>
      </c>
      <c r="K928" t="s">
        <v>22</v>
      </c>
    </row>
    <row r="929" spans="1:11" x14ac:dyDescent="0.35">
      <c r="A929" t="s">
        <v>970</v>
      </c>
      <c r="B929" s="1">
        <v>45387</v>
      </c>
      <c r="C929" t="s">
        <v>29</v>
      </c>
      <c r="D929" t="s">
        <v>13</v>
      </c>
      <c r="E929" t="s">
        <v>25</v>
      </c>
      <c r="F929" t="s">
        <v>26</v>
      </c>
      <c r="G929">
        <v>1</v>
      </c>
      <c r="H929">
        <v>29467</v>
      </c>
      <c r="I929">
        <v>29467</v>
      </c>
      <c r="J929" t="s">
        <v>16</v>
      </c>
      <c r="K929" t="s">
        <v>33</v>
      </c>
    </row>
    <row r="930" spans="1:11" x14ac:dyDescent="0.35">
      <c r="A930" t="s">
        <v>971</v>
      </c>
      <c r="B930" s="1">
        <v>45634</v>
      </c>
      <c r="C930" t="s">
        <v>37</v>
      </c>
      <c r="D930" t="s">
        <v>19</v>
      </c>
      <c r="E930" t="s">
        <v>14</v>
      </c>
      <c r="F930" t="s">
        <v>62</v>
      </c>
      <c r="G930">
        <v>15</v>
      </c>
      <c r="H930">
        <v>30600</v>
      </c>
      <c r="I930">
        <v>459000</v>
      </c>
      <c r="J930" t="s">
        <v>32</v>
      </c>
      <c r="K930" t="s">
        <v>33</v>
      </c>
    </row>
    <row r="931" spans="1:11" x14ac:dyDescent="0.35">
      <c r="A931" t="s">
        <v>972</v>
      </c>
      <c r="B931" s="1">
        <v>45528</v>
      </c>
      <c r="C931" t="s">
        <v>29</v>
      </c>
      <c r="D931" t="s">
        <v>35</v>
      </c>
      <c r="E931" t="s">
        <v>30</v>
      </c>
      <c r="F931" t="s">
        <v>31</v>
      </c>
      <c r="G931">
        <v>3</v>
      </c>
      <c r="H931">
        <v>11836</v>
      </c>
      <c r="I931">
        <v>35508</v>
      </c>
      <c r="J931" t="s">
        <v>27</v>
      </c>
      <c r="K931" t="s">
        <v>17</v>
      </c>
    </row>
    <row r="932" spans="1:11" x14ac:dyDescent="0.35">
      <c r="A932" t="s">
        <v>973</v>
      </c>
      <c r="B932" s="1">
        <v>45352</v>
      </c>
      <c r="C932" t="s">
        <v>43</v>
      </c>
      <c r="D932" t="s">
        <v>35</v>
      </c>
      <c r="E932" t="s">
        <v>25</v>
      </c>
      <c r="F932" t="s">
        <v>26</v>
      </c>
      <c r="G932">
        <v>9</v>
      </c>
      <c r="H932">
        <v>35246</v>
      </c>
      <c r="I932">
        <v>317214</v>
      </c>
      <c r="J932" t="s">
        <v>16</v>
      </c>
      <c r="K932" t="s">
        <v>33</v>
      </c>
    </row>
    <row r="933" spans="1:11" x14ac:dyDescent="0.35">
      <c r="A933" t="s">
        <v>974</v>
      </c>
      <c r="B933" s="1">
        <v>45424</v>
      </c>
      <c r="C933" t="s">
        <v>29</v>
      </c>
      <c r="D933" t="s">
        <v>19</v>
      </c>
      <c r="E933" t="s">
        <v>25</v>
      </c>
      <c r="F933" t="s">
        <v>58</v>
      </c>
      <c r="G933">
        <v>9</v>
      </c>
      <c r="H933">
        <v>21715</v>
      </c>
      <c r="I933">
        <v>195435</v>
      </c>
      <c r="J933" t="s">
        <v>27</v>
      </c>
      <c r="K933" t="s">
        <v>22</v>
      </c>
    </row>
    <row r="934" spans="1:11" x14ac:dyDescent="0.35">
      <c r="A934" t="s">
        <v>975</v>
      </c>
      <c r="B934" s="1">
        <v>45311</v>
      </c>
      <c r="C934" t="s">
        <v>43</v>
      </c>
      <c r="D934" t="s">
        <v>38</v>
      </c>
      <c r="E934" t="s">
        <v>30</v>
      </c>
      <c r="F934" t="s">
        <v>31</v>
      </c>
      <c r="G934">
        <v>19</v>
      </c>
      <c r="H934">
        <v>33701</v>
      </c>
      <c r="I934">
        <v>640319</v>
      </c>
      <c r="J934" t="s">
        <v>21</v>
      </c>
      <c r="K934" t="s">
        <v>17</v>
      </c>
    </row>
    <row r="935" spans="1:11" x14ac:dyDescent="0.35">
      <c r="A935" t="s">
        <v>976</v>
      </c>
      <c r="B935" s="1">
        <v>45639</v>
      </c>
      <c r="C935" t="s">
        <v>37</v>
      </c>
      <c r="D935" t="s">
        <v>35</v>
      </c>
      <c r="E935" t="s">
        <v>14</v>
      </c>
      <c r="F935" t="s">
        <v>15</v>
      </c>
      <c r="G935">
        <v>20</v>
      </c>
      <c r="H935">
        <v>10748</v>
      </c>
      <c r="I935">
        <v>214960</v>
      </c>
      <c r="J935" t="s">
        <v>16</v>
      </c>
      <c r="K935" t="s">
        <v>33</v>
      </c>
    </row>
    <row r="936" spans="1:11" x14ac:dyDescent="0.35">
      <c r="A936" t="s">
        <v>977</v>
      </c>
      <c r="B936" s="1">
        <v>45481</v>
      </c>
      <c r="C936" t="s">
        <v>43</v>
      </c>
      <c r="D936" t="s">
        <v>38</v>
      </c>
      <c r="E936" t="s">
        <v>30</v>
      </c>
      <c r="F936" t="s">
        <v>81</v>
      </c>
      <c r="G936">
        <v>8</v>
      </c>
      <c r="H936">
        <v>25532</v>
      </c>
      <c r="I936">
        <v>204256</v>
      </c>
      <c r="J936" t="s">
        <v>27</v>
      </c>
      <c r="K936" t="s">
        <v>17</v>
      </c>
    </row>
    <row r="937" spans="1:11" x14ac:dyDescent="0.35">
      <c r="A937" t="s">
        <v>978</v>
      </c>
      <c r="B937" s="1">
        <v>45473</v>
      </c>
      <c r="C937" t="s">
        <v>24</v>
      </c>
      <c r="D937" t="s">
        <v>13</v>
      </c>
      <c r="E937" t="s">
        <v>14</v>
      </c>
      <c r="F937" t="s">
        <v>20</v>
      </c>
      <c r="G937">
        <v>7</v>
      </c>
      <c r="H937">
        <v>41484</v>
      </c>
      <c r="I937">
        <v>290388</v>
      </c>
      <c r="J937" t="s">
        <v>27</v>
      </c>
      <c r="K937" t="s">
        <v>22</v>
      </c>
    </row>
    <row r="938" spans="1:11" x14ac:dyDescent="0.35">
      <c r="A938" t="s">
        <v>979</v>
      </c>
      <c r="B938" s="1">
        <v>45501</v>
      </c>
      <c r="C938" t="s">
        <v>12</v>
      </c>
      <c r="D938" t="s">
        <v>35</v>
      </c>
      <c r="E938" t="s">
        <v>14</v>
      </c>
      <c r="F938" t="s">
        <v>62</v>
      </c>
      <c r="G938">
        <v>15</v>
      </c>
      <c r="H938">
        <v>19947</v>
      </c>
      <c r="I938">
        <v>299205</v>
      </c>
      <c r="J938" t="s">
        <v>32</v>
      </c>
      <c r="K938" t="s">
        <v>17</v>
      </c>
    </row>
    <row r="939" spans="1:11" x14ac:dyDescent="0.35">
      <c r="A939" t="s">
        <v>980</v>
      </c>
      <c r="B939" s="1">
        <v>45521</v>
      </c>
      <c r="C939" t="s">
        <v>12</v>
      </c>
      <c r="D939" t="s">
        <v>13</v>
      </c>
      <c r="E939" t="s">
        <v>30</v>
      </c>
      <c r="F939" t="s">
        <v>44</v>
      </c>
      <c r="G939">
        <v>3</v>
      </c>
      <c r="H939">
        <v>8488</v>
      </c>
      <c r="I939">
        <v>25464</v>
      </c>
      <c r="J939" t="s">
        <v>32</v>
      </c>
      <c r="K939" t="s">
        <v>17</v>
      </c>
    </row>
    <row r="940" spans="1:11" x14ac:dyDescent="0.35">
      <c r="A940" t="s">
        <v>981</v>
      </c>
      <c r="B940" s="1">
        <v>45501</v>
      </c>
      <c r="C940" t="s">
        <v>12</v>
      </c>
      <c r="D940" t="s">
        <v>35</v>
      </c>
      <c r="E940" t="s">
        <v>25</v>
      </c>
      <c r="F940" t="s">
        <v>26</v>
      </c>
      <c r="G940">
        <v>2</v>
      </c>
      <c r="H940">
        <v>2886</v>
      </c>
      <c r="I940">
        <v>5772</v>
      </c>
      <c r="J940" t="s">
        <v>32</v>
      </c>
      <c r="K940" t="s">
        <v>33</v>
      </c>
    </row>
    <row r="941" spans="1:11" x14ac:dyDescent="0.35">
      <c r="A941" t="s">
        <v>982</v>
      </c>
      <c r="B941" s="1">
        <v>45318</v>
      </c>
      <c r="C941" t="s">
        <v>37</v>
      </c>
      <c r="D941" t="s">
        <v>13</v>
      </c>
      <c r="E941" t="s">
        <v>30</v>
      </c>
      <c r="F941" t="s">
        <v>31</v>
      </c>
      <c r="G941">
        <v>6</v>
      </c>
      <c r="H941">
        <v>40535</v>
      </c>
      <c r="I941">
        <v>243210</v>
      </c>
      <c r="J941" t="s">
        <v>21</v>
      </c>
      <c r="K941" t="s">
        <v>22</v>
      </c>
    </row>
    <row r="942" spans="1:11" x14ac:dyDescent="0.35">
      <c r="A942" t="s">
        <v>983</v>
      </c>
      <c r="B942" s="1">
        <v>45335</v>
      </c>
      <c r="C942" t="s">
        <v>37</v>
      </c>
      <c r="D942" t="s">
        <v>19</v>
      </c>
      <c r="E942" t="s">
        <v>14</v>
      </c>
      <c r="F942" t="s">
        <v>15</v>
      </c>
      <c r="G942">
        <v>7</v>
      </c>
      <c r="H942">
        <v>28762</v>
      </c>
      <c r="I942">
        <v>201334</v>
      </c>
      <c r="J942" t="s">
        <v>21</v>
      </c>
      <c r="K942" t="s">
        <v>22</v>
      </c>
    </row>
    <row r="943" spans="1:11" x14ac:dyDescent="0.35">
      <c r="A943" t="s">
        <v>984</v>
      </c>
      <c r="B943" s="1">
        <v>45520</v>
      </c>
      <c r="C943" t="s">
        <v>24</v>
      </c>
      <c r="D943" t="s">
        <v>35</v>
      </c>
      <c r="E943" t="s">
        <v>39</v>
      </c>
      <c r="F943" t="s">
        <v>40</v>
      </c>
      <c r="G943">
        <v>3</v>
      </c>
      <c r="H943">
        <v>39316</v>
      </c>
      <c r="I943">
        <v>117948</v>
      </c>
      <c r="J943" t="s">
        <v>27</v>
      </c>
      <c r="K943" t="s">
        <v>17</v>
      </c>
    </row>
    <row r="944" spans="1:11" x14ac:dyDescent="0.35">
      <c r="A944" t="s">
        <v>985</v>
      </c>
      <c r="B944" s="1">
        <v>45619</v>
      </c>
      <c r="C944" t="s">
        <v>43</v>
      </c>
      <c r="D944" t="s">
        <v>35</v>
      </c>
      <c r="E944" t="s">
        <v>30</v>
      </c>
      <c r="F944" t="s">
        <v>44</v>
      </c>
      <c r="G944">
        <v>17</v>
      </c>
      <c r="H944">
        <v>28556</v>
      </c>
      <c r="I944">
        <v>485452</v>
      </c>
      <c r="J944" t="s">
        <v>21</v>
      </c>
      <c r="K944" t="s">
        <v>17</v>
      </c>
    </row>
    <row r="945" spans="1:11" x14ac:dyDescent="0.35">
      <c r="A945" t="s">
        <v>986</v>
      </c>
      <c r="B945" s="1">
        <v>45636</v>
      </c>
      <c r="C945" t="s">
        <v>29</v>
      </c>
      <c r="D945" t="s">
        <v>19</v>
      </c>
      <c r="E945" t="s">
        <v>39</v>
      </c>
      <c r="F945" t="s">
        <v>55</v>
      </c>
      <c r="G945">
        <v>19</v>
      </c>
      <c r="H945">
        <v>11129</v>
      </c>
      <c r="I945">
        <v>211451</v>
      </c>
      <c r="J945" t="s">
        <v>21</v>
      </c>
      <c r="K945" t="s">
        <v>22</v>
      </c>
    </row>
    <row r="946" spans="1:11" x14ac:dyDescent="0.35">
      <c r="A946" t="s">
        <v>987</v>
      </c>
      <c r="B946" s="1">
        <v>45580</v>
      </c>
      <c r="C946" t="s">
        <v>43</v>
      </c>
      <c r="D946" t="s">
        <v>19</v>
      </c>
      <c r="E946" t="s">
        <v>39</v>
      </c>
      <c r="F946" t="s">
        <v>65</v>
      </c>
      <c r="G946">
        <v>1</v>
      </c>
      <c r="H946">
        <v>17119</v>
      </c>
      <c r="I946">
        <v>17119</v>
      </c>
      <c r="J946" t="s">
        <v>16</v>
      </c>
      <c r="K946" t="s">
        <v>17</v>
      </c>
    </row>
    <row r="947" spans="1:11" x14ac:dyDescent="0.35">
      <c r="A947" t="s">
        <v>988</v>
      </c>
      <c r="B947" s="1">
        <v>45606</v>
      </c>
      <c r="C947" t="s">
        <v>37</v>
      </c>
      <c r="D947" t="s">
        <v>19</v>
      </c>
      <c r="E947" t="s">
        <v>14</v>
      </c>
      <c r="F947" t="s">
        <v>62</v>
      </c>
      <c r="G947">
        <v>19</v>
      </c>
      <c r="H947">
        <v>29989</v>
      </c>
      <c r="I947">
        <v>569791</v>
      </c>
      <c r="J947" t="s">
        <v>32</v>
      </c>
      <c r="K947" t="s">
        <v>22</v>
      </c>
    </row>
    <row r="948" spans="1:11" x14ac:dyDescent="0.35">
      <c r="A948" t="s">
        <v>989</v>
      </c>
      <c r="B948" s="1">
        <v>45450</v>
      </c>
      <c r="C948" t="s">
        <v>24</v>
      </c>
      <c r="D948" t="s">
        <v>19</v>
      </c>
      <c r="E948" t="s">
        <v>39</v>
      </c>
      <c r="F948" t="s">
        <v>65</v>
      </c>
      <c r="G948">
        <v>19</v>
      </c>
      <c r="H948">
        <v>29940</v>
      </c>
      <c r="I948">
        <v>568860</v>
      </c>
      <c r="J948" t="s">
        <v>21</v>
      </c>
      <c r="K948" t="s">
        <v>17</v>
      </c>
    </row>
    <row r="949" spans="1:11" x14ac:dyDescent="0.35">
      <c r="A949" t="s">
        <v>990</v>
      </c>
      <c r="B949" s="1">
        <v>45646</v>
      </c>
      <c r="C949" t="s">
        <v>37</v>
      </c>
      <c r="D949" t="s">
        <v>38</v>
      </c>
      <c r="E949" t="s">
        <v>25</v>
      </c>
      <c r="F949" t="s">
        <v>48</v>
      </c>
      <c r="G949">
        <v>2</v>
      </c>
      <c r="H949">
        <v>1030</v>
      </c>
      <c r="I949">
        <v>2060</v>
      </c>
      <c r="J949" t="s">
        <v>21</v>
      </c>
      <c r="K949" t="s">
        <v>22</v>
      </c>
    </row>
    <row r="950" spans="1:11" x14ac:dyDescent="0.35">
      <c r="A950" t="s">
        <v>991</v>
      </c>
      <c r="B950" s="1">
        <v>45424</v>
      </c>
      <c r="C950" t="s">
        <v>43</v>
      </c>
      <c r="D950" t="s">
        <v>38</v>
      </c>
      <c r="E950" t="s">
        <v>14</v>
      </c>
      <c r="F950" t="s">
        <v>20</v>
      </c>
      <c r="G950">
        <v>4</v>
      </c>
      <c r="H950">
        <v>10986</v>
      </c>
      <c r="I950">
        <v>43944</v>
      </c>
      <c r="J950" t="s">
        <v>27</v>
      </c>
      <c r="K950" t="s">
        <v>22</v>
      </c>
    </row>
    <row r="951" spans="1:11" x14ac:dyDescent="0.35">
      <c r="A951" t="s">
        <v>992</v>
      </c>
      <c r="B951" s="1">
        <v>45438</v>
      </c>
      <c r="C951" t="s">
        <v>24</v>
      </c>
      <c r="D951" t="s">
        <v>35</v>
      </c>
      <c r="E951" t="s">
        <v>14</v>
      </c>
      <c r="F951" t="s">
        <v>15</v>
      </c>
      <c r="G951">
        <v>11</v>
      </c>
      <c r="H951">
        <v>41790</v>
      </c>
      <c r="I951">
        <v>459690</v>
      </c>
      <c r="J951" t="s">
        <v>27</v>
      </c>
      <c r="K951" t="s">
        <v>17</v>
      </c>
    </row>
    <row r="952" spans="1:11" x14ac:dyDescent="0.35">
      <c r="A952" t="s">
        <v>993</v>
      </c>
      <c r="B952" s="1">
        <v>45415</v>
      </c>
      <c r="C952" t="s">
        <v>12</v>
      </c>
      <c r="D952" t="s">
        <v>13</v>
      </c>
      <c r="E952" t="s">
        <v>39</v>
      </c>
      <c r="F952" t="s">
        <v>40</v>
      </c>
      <c r="G952">
        <v>1</v>
      </c>
      <c r="H952">
        <v>28475</v>
      </c>
      <c r="I952">
        <v>28475</v>
      </c>
      <c r="J952" t="s">
        <v>32</v>
      </c>
      <c r="K952" t="s">
        <v>17</v>
      </c>
    </row>
    <row r="953" spans="1:11" x14ac:dyDescent="0.35">
      <c r="A953" t="s">
        <v>994</v>
      </c>
      <c r="B953" s="1">
        <v>45596</v>
      </c>
      <c r="C953" t="s">
        <v>24</v>
      </c>
      <c r="D953" t="s">
        <v>38</v>
      </c>
      <c r="E953" t="s">
        <v>30</v>
      </c>
      <c r="F953" t="s">
        <v>81</v>
      </c>
      <c r="G953">
        <v>8</v>
      </c>
      <c r="H953">
        <v>24692</v>
      </c>
      <c r="I953">
        <v>197536</v>
      </c>
      <c r="J953" t="s">
        <v>32</v>
      </c>
      <c r="K953" t="s">
        <v>17</v>
      </c>
    </row>
    <row r="954" spans="1:11" x14ac:dyDescent="0.35">
      <c r="A954" t="s">
        <v>995</v>
      </c>
      <c r="B954" s="1">
        <v>45619</v>
      </c>
      <c r="C954" t="s">
        <v>43</v>
      </c>
      <c r="D954" t="s">
        <v>35</v>
      </c>
      <c r="E954" t="s">
        <v>14</v>
      </c>
      <c r="F954" t="s">
        <v>62</v>
      </c>
      <c r="G954">
        <v>15</v>
      </c>
      <c r="H954">
        <v>40599</v>
      </c>
      <c r="I954">
        <v>608985</v>
      </c>
      <c r="J954" t="s">
        <v>32</v>
      </c>
      <c r="K954" t="s">
        <v>33</v>
      </c>
    </row>
    <row r="955" spans="1:11" x14ac:dyDescent="0.35">
      <c r="A955" t="s">
        <v>996</v>
      </c>
      <c r="B955" s="1">
        <v>45608</v>
      </c>
      <c r="C955" t="s">
        <v>12</v>
      </c>
      <c r="D955" t="s">
        <v>19</v>
      </c>
      <c r="E955" t="s">
        <v>30</v>
      </c>
      <c r="F955" t="s">
        <v>81</v>
      </c>
      <c r="G955">
        <v>2</v>
      </c>
      <c r="H955">
        <v>34792</v>
      </c>
      <c r="I955">
        <v>69584</v>
      </c>
      <c r="J955" t="s">
        <v>27</v>
      </c>
      <c r="K955" t="s">
        <v>22</v>
      </c>
    </row>
    <row r="956" spans="1:11" x14ac:dyDescent="0.35">
      <c r="A956" t="s">
        <v>997</v>
      </c>
      <c r="B956" s="1">
        <v>45344</v>
      </c>
      <c r="C956" t="s">
        <v>43</v>
      </c>
      <c r="D956" t="s">
        <v>19</v>
      </c>
      <c r="E956" t="s">
        <v>30</v>
      </c>
      <c r="F956" t="s">
        <v>31</v>
      </c>
      <c r="G956">
        <v>9</v>
      </c>
      <c r="H956">
        <v>49873</v>
      </c>
      <c r="I956">
        <v>448857</v>
      </c>
      <c r="J956" t="s">
        <v>27</v>
      </c>
      <c r="K956" t="s">
        <v>33</v>
      </c>
    </row>
    <row r="957" spans="1:11" x14ac:dyDescent="0.35">
      <c r="A957" t="s">
        <v>998</v>
      </c>
      <c r="B957" s="1">
        <v>45615</v>
      </c>
      <c r="C957" t="s">
        <v>37</v>
      </c>
      <c r="D957" t="s">
        <v>35</v>
      </c>
      <c r="E957" t="s">
        <v>25</v>
      </c>
      <c r="F957" t="s">
        <v>48</v>
      </c>
      <c r="G957">
        <v>20</v>
      </c>
      <c r="H957">
        <v>30169</v>
      </c>
      <c r="I957">
        <v>603380</v>
      </c>
      <c r="J957" t="s">
        <v>21</v>
      </c>
      <c r="K957" t="s">
        <v>22</v>
      </c>
    </row>
    <row r="958" spans="1:11" x14ac:dyDescent="0.35">
      <c r="A958" t="s">
        <v>999</v>
      </c>
      <c r="B958" s="1">
        <v>45354</v>
      </c>
      <c r="C958" t="s">
        <v>37</v>
      </c>
      <c r="D958" t="s">
        <v>38</v>
      </c>
      <c r="E958" t="s">
        <v>14</v>
      </c>
      <c r="F958" t="s">
        <v>20</v>
      </c>
      <c r="G958">
        <v>9</v>
      </c>
      <c r="H958">
        <v>7386</v>
      </c>
      <c r="I958">
        <v>66474</v>
      </c>
      <c r="J958" t="s">
        <v>16</v>
      </c>
      <c r="K958" t="s">
        <v>33</v>
      </c>
    </row>
    <row r="959" spans="1:11" x14ac:dyDescent="0.35">
      <c r="A959" t="s">
        <v>1000</v>
      </c>
      <c r="B959" s="1">
        <v>45523</v>
      </c>
      <c r="C959" t="s">
        <v>37</v>
      </c>
      <c r="D959" t="s">
        <v>19</v>
      </c>
      <c r="E959" t="s">
        <v>25</v>
      </c>
      <c r="F959" t="s">
        <v>48</v>
      </c>
      <c r="G959">
        <v>10</v>
      </c>
      <c r="H959">
        <v>1411</v>
      </c>
      <c r="I959">
        <v>14110</v>
      </c>
      <c r="J959" t="s">
        <v>32</v>
      </c>
      <c r="K959" t="s">
        <v>33</v>
      </c>
    </row>
    <row r="960" spans="1:11" x14ac:dyDescent="0.35">
      <c r="A960" t="s">
        <v>1001</v>
      </c>
      <c r="B960" s="1">
        <v>45526</v>
      </c>
      <c r="C960" t="s">
        <v>12</v>
      </c>
      <c r="D960" t="s">
        <v>35</v>
      </c>
      <c r="E960" t="s">
        <v>25</v>
      </c>
      <c r="F960" t="s">
        <v>48</v>
      </c>
      <c r="G960">
        <v>17</v>
      </c>
      <c r="H960">
        <v>29477</v>
      </c>
      <c r="I960">
        <v>501109</v>
      </c>
      <c r="J960" t="s">
        <v>16</v>
      </c>
      <c r="K960" t="s">
        <v>17</v>
      </c>
    </row>
    <row r="961" spans="1:11" x14ac:dyDescent="0.35">
      <c r="A961" t="s">
        <v>1002</v>
      </c>
      <c r="B961" s="1">
        <v>45338</v>
      </c>
      <c r="C961" t="s">
        <v>12</v>
      </c>
      <c r="D961" t="s">
        <v>38</v>
      </c>
      <c r="E961" t="s">
        <v>14</v>
      </c>
      <c r="F961" t="s">
        <v>20</v>
      </c>
      <c r="G961">
        <v>1</v>
      </c>
      <c r="H961">
        <v>12757</v>
      </c>
      <c r="I961">
        <v>12757</v>
      </c>
      <c r="J961" t="s">
        <v>21</v>
      </c>
      <c r="K961" t="s">
        <v>22</v>
      </c>
    </row>
    <row r="962" spans="1:11" x14ac:dyDescent="0.35">
      <c r="A962" t="s">
        <v>1003</v>
      </c>
      <c r="B962" s="1">
        <v>45401</v>
      </c>
      <c r="C962" t="s">
        <v>29</v>
      </c>
      <c r="D962" t="s">
        <v>19</v>
      </c>
      <c r="E962" t="s">
        <v>14</v>
      </c>
      <c r="F962" t="s">
        <v>62</v>
      </c>
      <c r="G962">
        <v>16</v>
      </c>
      <c r="H962">
        <v>46185</v>
      </c>
      <c r="I962">
        <v>738960</v>
      </c>
      <c r="J962" t="s">
        <v>32</v>
      </c>
      <c r="K962" t="s">
        <v>33</v>
      </c>
    </row>
    <row r="963" spans="1:11" x14ac:dyDescent="0.35">
      <c r="A963" t="s">
        <v>1004</v>
      </c>
      <c r="B963" s="1">
        <v>45534</v>
      </c>
      <c r="C963" t="s">
        <v>24</v>
      </c>
      <c r="D963" t="s">
        <v>19</v>
      </c>
      <c r="E963" t="s">
        <v>14</v>
      </c>
      <c r="F963" t="s">
        <v>20</v>
      </c>
      <c r="G963">
        <v>20</v>
      </c>
      <c r="H963">
        <v>28482</v>
      </c>
      <c r="I963">
        <v>569640</v>
      </c>
      <c r="J963" t="s">
        <v>16</v>
      </c>
      <c r="K963" t="s">
        <v>33</v>
      </c>
    </row>
    <row r="964" spans="1:11" x14ac:dyDescent="0.35">
      <c r="A964" t="s">
        <v>1005</v>
      </c>
      <c r="B964" s="1">
        <v>45341</v>
      </c>
      <c r="C964" t="s">
        <v>24</v>
      </c>
      <c r="D964" t="s">
        <v>35</v>
      </c>
      <c r="E964" t="s">
        <v>25</v>
      </c>
      <c r="F964" t="s">
        <v>26</v>
      </c>
      <c r="G964">
        <v>13</v>
      </c>
      <c r="H964">
        <v>3532</v>
      </c>
      <c r="I964">
        <v>45916</v>
      </c>
      <c r="J964" t="s">
        <v>27</v>
      </c>
      <c r="K964" t="s">
        <v>33</v>
      </c>
    </row>
    <row r="965" spans="1:11" x14ac:dyDescent="0.35">
      <c r="A965" t="s">
        <v>1006</v>
      </c>
      <c r="B965" s="1">
        <v>45502</v>
      </c>
      <c r="C965" t="s">
        <v>24</v>
      </c>
      <c r="D965" t="s">
        <v>19</v>
      </c>
      <c r="E965" t="s">
        <v>30</v>
      </c>
      <c r="F965" t="s">
        <v>31</v>
      </c>
      <c r="G965">
        <v>2</v>
      </c>
      <c r="H965">
        <v>28498</v>
      </c>
      <c r="I965">
        <v>56996</v>
      </c>
      <c r="J965" t="s">
        <v>27</v>
      </c>
      <c r="K965" t="s">
        <v>33</v>
      </c>
    </row>
    <row r="966" spans="1:11" x14ac:dyDescent="0.35">
      <c r="A966" t="s">
        <v>1007</v>
      </c>
      <c r="B966" s="1">
        <v>45509</v>
      </c>
      <c r="C966" t="s">
        <v>24</v>
      </c>
      <c r="D966" t="s">
        <v>13</v>
      </c>
      <c r="E966" t="s">
        <v>14</v>
      </c>
      <c r="F966" t="s">
        <v>62</v>
      </c>
      <c r="G966">
        <v>11</v>
      </c>
      <c r="H966">
        <v>42215</v>
      </c>
      <c r="I966">
        <v>464365</v>
      </c>
      <c r="J966" t="s">
        <v>21</v>
      </c>
      <c r="K966" t="s">
        <v>33</v>
      </c>
    </row>
    <row r="967" spans="1:11" x14ac:dyDescent="0.35">
      <c r="A967" t="s">
        <v>1008</v>
      </c>
      <c r="B967" s="1">
        <v>45615</v>
      </c>
      <c r="C967" t="s">
        <v>43</v>
      </c>
      <c r="D967" t="s">
        <v>13</v>
      </c>
      <c r="E967" t="s">
        <v>39</v>
      </c>
      <c r="F967" t="s">
        <v>55</v>
      </c>
      <c r="G967">
        <v>16</v>
      </c>
      <c r="H967">
        <v>13077</v>
      </c>
      <c r="I967">
        <v>209232</v>
      </c>
      <c r="J967" t="s">
        <v>21</v>
      </c>
      <c r="K967" t="s">
        <v>33</v>
      </c>
    </row>
    <row r="968" spans="1:11" x14ac:dyDescent="0.35">
      <c r="A968" t="s">
        <v>1009</v>
      </c>
      <c r="B968" s="1">
        <v>45538</v>
      </c>
      <c r="C968" t="s">
        <v>37</v>
      </c>
      <c r="D968" t="s">
        <v>19</v>
      </c>
      <c r="E968" t="s">
        <v>39</v>
      </c>
      <c r="F968" t="s">
        <v>55</v>
      </c>
      <c r="G968">
        <v>7</v>
      </c>
      <c r="H968">
        <v>49398</v>
      </c>
      <c r="I968">
        <v>345786</v>
      </c>
      <c r="J968" t="s">
        <v>16</v>
      </c>
      <c r="K968" t="s">
        <v>33</v>
      </c>
    </row>
    <row r="969" spans="1:11" x14ac:dyDescent="0.35">
      <c r="A969" t="s">
        <v>1010</v>
      </c>
      <c r="B969" s="1">
        <v>45469</v>
      </c>
      <c r="C969" t="s">
        <v>37</v>
      </c>
      <c r="D969" t="s">
        <v>19</v>
      </c>
      <c r="E969" t="s">
        <v>14</v>
      </c>
      <c r="F969" t="s">
        <v>15</v>
      </c>
      <c r="G969">
        <v>5</v>
      </c>
      <c r="H969">
        <v>43665</v>
      </c>
      <c r="I969">
        <v>218325</v>
      </c>
      <c r="J969" t="s">
        <v>27</v>
      </c>
      <c r="K969" t="s">
        <v>33</v>
      </c>
    </row>
    <row r="970" spans="1:11" x14ac:dyDescent="0.35">
      <c r="A970" t="s">
        <v>1011</v>
      </c>
      <c r="B970" s="1">
        <v>45303</v>
      </c>
      <c r="C970" t="s">
        <v>12</v>
      </c>
      <c r="D970" t="s">
        <v>38</v>
      </c>
      <c r="E970" t="s">
        <v>39</v>
      </c>
      <c r="F970" t="s">
        <v>55</v>
      </c>
      <c r="G970">
        <v>6</v>
      </c>
      <c r="H970">
        <v>8499</v>
      </c>
      <c r="I970">
        <v>50994</v>
      </c>
      <c r="J970" t="s">
        <v>16</v>
      </c>
      <c r="K970" t="s">
        <v>33</v>
      </c>
    </row>
    <row r="971" spans="1:11" x14ac:dyDescent="0.35">
      <c r="A971" t="s">
        <v>1012</v>
      </c>
      <c r="B971" s="1">
        <v>45312</v>
      </c>
      <c r="C971" t="s">
        <v>43</v>
      </c>
      <c r="D971" t="s">
        <v>19</v>
      </c>
      <c r="E971" t="s">
        <v>39</v>
      </c>
      <c r="F971" t="s">
        <v>55</v>
      </c>
      <c r="G971">
        <v>6</v>
      </c>
      <c r="H971">
        <v>30072</v>
      </c>
      <c r="I971">
        <v>180432</v>
      </c>
      <c r="J971" t="s">
        <v>27</v>
      </c>
      <c r="K971" t="s">
        <v>33</v>
      </c>
    </row>
    <row r="972" spans="1:11" x14ac:dyDescent="0.35">
      <c r="A972" t="s">
        <v>1013</v>
      </c>
      <c r="B972" s="1">
        <v>45618</v>
      </c>
      <c r="C972" t="s">
        <v>12</v>
      </c>
      <c r="D972" t="s">
        <v>38</v>
      </c>
      <c r="E972" t="s">
        <v>30</v>
      </c>
      <c r="F972" t="s">
        <v>31</v>
      </c>
      <c r="G972">
        <v>3</v>
      </c>
      <c r="H972">
        <v>34844</v>
      </c>
      <c r="I972">
        <v>104532</v>
      </c>
      <c r="J972" t="s">
        <v>21</v>
      </c>
      <c r="K972" t="s">
        <v>33</v>
      </c>
    </row>
    <row r="973" spans="1:11" x14ac:dyDescent="0.35">
      <c r="A973" t="s">
        <v>1014</v>
      </c>
      <c r="B973" s="1">
        <v>45424</v>
      </c>
      <c r="C973" t="s">
        <v>24</v>
      </c>
      <c r="D973" t="s">
        <v>13</v>
      </c>
      <c r="E973" t="s">
        <v>30</v>
      </c>
      <c r="F973" t="s">
        <v>31</v>
      </c>
      <c r="G973">
        <v>4</v>
      </c>
      <c r="H973">
        <v>11551</v>
      </c>
      <c r="I973">
        <v>46204</v>
      </c>
      <c r="J973" t="s">
        <v>21</v>
      </c>
      <c r="K973" t="s">
        <v>17</v>
      </c>
    </row>
    <row r="974" spans="1:11" x14ac:dyDescent="0.35">
      <c r="A974" t="s">
        <v>1015</v>
      </c>
      <c r="B974" s="1">
        <v>45404</v>
      </c>
      <c r="C974" t="s">
        <v>43</v>
      </c>
      <c r="D974" t="s">
        <v>38</v>
      </c>
      <c r="E974" t="s">
        <v>30</v>
      </c>
      <c r="F974" t="s">
        <v>44</v>
      </c>
      <c r="G974">
        <v>20</v>
      </c>
      <c r="H974">
        <v>17810</v>
      </c>
      <c r="I974">
        <v>356200</v>
      </c>
      <c r="J974" t="s">
        <v>27</v>
      </c>
      <c r="K974" t="s">
        <v>17</v>
      </c>
    </row>
    <row r="975" spans="1:11" x14ac:dyDescent="0.35">
      <c r="A975" t="s">
        <v>1016</v>
      </c>
      <c r="B975" s="1">
        <v>45535</v>
      </c>
      <c r="C975" t="s">
        <v>37</v>
      </c>
      <c r="D975" t="s">
        <v>38</v>
      </c>
      <c r="E975" t="s">
        <v>39</v>
      </c>
      <c r="F975" t="s">
        <v>65</v>
      </c>
      <c r="G975">
        <v>18</v>
      </c>
      <c r="H975">
        <v>23427</v>
      </c>
      <c r="I975">
        <v>421686</v>
      </c>
      <c r="J975" t="s">
        <v>27</v>
      </c>
      <c r="K975" t="s">
        <v>22</v>
      </c>
    </row>
    <row r="976" spans="1:11" x14ac:dyDescent="0.35">
      <c r="A976" t="s">
        <v>1017</v>
      </c>
      <c r="B976" s="1">
        <v>45296</v>
      </c>
      <c r="C976" t="s">
        <v>37</v>
      </c>
      <c r="D976" t="s">
        <v>38</v>
      </c>
      <c r="E976" t="s">
        <v>25</v>
      </c>
      <c r="F976" t="s">
        <v>58</v>
      </c>
      <c r="G976">
        <v>14</v>
      </c>
      <c r="H976">
        <v>33202</v>
      </c>
      <c r="I976">
        <v>464828</v>
      </c>
      <c r="J976" t="s">
        <v>32</v>
      </c>
      <c r="K976" t="s">
        <v>33</v>
      </c>
    </row>
    <row r="977" spans="1:11" x14ac:dyDescent="0.35">
      <c r="A977" t="s">
        <v>1018</v>
      </c>
      <c r="B977" s="1">
        <v>45526</v>
      </c>
      <c r="C977" t="s">
        <v>43</v>
      </c>
      <c r="D977" t="s">
        <v>13</v>
      </c>
      <c r="E977" t="s">
        <v>25</v>
      </c>
      <c r="F977" t="s">
        <v>26</v>
      </c>
      <c r="G977">
        <v>14</v>
      </c>
      <c r="H977">
        <v>49884</v>
      </c>
      <c r="I977">
        <v>698376</v>
      </c>
      <c r="J977" t="s">
        <v>21</v>
      </c>
      <c r="K977" t="s">
        <v>33</v>
      </c>
    </row>
    <row r="978" spans="1:11" x14ac:dyDescent="0.35">
      <c r="A978" t="s">
        <v>1019</v>
      </c>
      <c r="B978" s="1">
        <v>45500</v>
      </c>
      <c r="C978" t="s">
        <v>24</v>
      </c>
      <c r="D978" t="s">
        <v>13</v>
      </c>
      <c r="E978" t="s">
        <v>39</v>
      </c>
      <c r="F978" t="s">
        <v>40</v>
      </c>
      <c r="G978">
        <v>18</v>
      </c>
      <c r="H978">
        <v>38159</v>
      </c>
      <c r="I978">
        <v>686862</v>
      </c>
      <c r="J978" t="s">
        <v>27</v>
      </c>
      <c r="K978" t="s">
        <v>17</v>
      </c>
    </row>
    <row r="979" spans="1:11" x14ac:dyDescent="0.35">
      <c r="A979" t="s">
        <v>1020</v>
      </c>
      <c r="B979" s="1">
        <v>45431</v>
      </c>
      <c r="C979" t="s">
        <v>24</v>
      </c>
      <c r="D979" t="s">
        <v>38</v>
      </c>
      <c r="E979" t="s">
        <v>14</v>
      </c>
      <c r="F979" t="s">
        <v>20</v>
      </c>
      <c r="G979">
        <v>20</v>
      </c>
      <c r="H979">
        <v>21879</v>
      </c>
      <c r="I979">
        <v>437580</v>
      </c>
      <c r="J979" t="s">
        <v>32</v>
      </c>
      <c r="K979" t="s">
        <v>17</v>
      </c>
    </row>
    <row r="980" spans="1:11" x14ac:dyDescent="0.35">
      <c r="A980" t="s">
        <v>1021</v>
      </c>
      <c r="B980" s="1">
        <v>45373</v>
      </c>
      <c r="C980" t="s">
        <v>12</v>
      </c>
      <c r="D980" t="s">
        <v>19</v>
      </c>
      <c r="E980" t="s">
        <v>39</v>
      </c>
      <c r="F980" t="s">
        <v>40</v>
      </c>
      <c r="G980">
        <v>18</v>
      </c>
      <c r="H980">
        <v>31659</v>
      </c>
      <c r="I980">
        <v>569862</v>
      </c>
      <c r="J980" t="s">
        <v>32</v>
      </c>
      <c r="K980" t="s">
        <v>33</v>
      </c>
    </row>
    <row r="981" spans="1:11" x14ac:dyDescent="0.35">
      <c r="A981" t="s">
        <v>1022</v>
      </c>
      <c r="B981" s="1">
        <v>45604</v>
      </c>
      <c r="C981" t="s">
        <v>43</v>
      </c>
      <c r="D981" t="s">
        <v>35</v>
      </c>
      <c r="E981" t="s">
        <v>25</v>
      </c>
      <c r="F981" t="s">
        <v>58</v>
      </c>
      <c r="G981">
        <v>4</v>
      </c>
      <c r="H981">
        <v>16287</v>
      </c>
      <c r="I981">
        <v>65148</v>
      </c>
      <c r="J981" t="s">
        <v>27</v>
      </c>
      <c r="K981" t="s">
        <v>33</v>
      </c>
    </row>
    <row r="982" spans="1:11" x14ac:dyDescent="0.35">
      <c r="A982" t="s">
        <v>1023</v>
      </c>
      <c r="B982" s="1">
        <v>45637</v>
      </c>
      <c r="C982" t="s">
        <v>12</v>
      </c>
      <c r="D982" t="s">
        <v>35</v>
      </c>
      <c r="E982" t="s">
        <v>39</v>
      </c>
      <c r="F982" t="s">
        <v>40</v>
      </c>
      <c r="G982">
        <v>17</v>
      </c>
      <c r="H982">
        <v>47411</v>
      </c>
      <c r="I982">
        <v>805987</v>
      </c>
      <c r="J982" t="s">
        <v>21</v>
      </c>
      <c r="K982" t="s">
        <v>33</v>
      </c>
    </row>
    <row r="983" spans="1:11" x14ac:dyDescent="0.35">
      <c r="A983" t="s">
        <v>1024</v>
      </c>
      <c r="B983" s="1">
        <v>45468</v>
      </c>
      <c r="C983" t="s">
        <v>43</v>
      </c>
      <c r="D983" t="s">
        <v>35</v>
      </c>
      <c r="E983" t="s">
        <v>39</v>
      </c>
      <c r="F983" t="s">
        <v>65</v>
      </c>
      <c r="G983">
        <v>17</v>
      </c>
      <c r="H983">
        <v>45453</v>
      </c>
      <c r="I983">
        <v>772701</v>
      </c>
      <c r="J983" t="s">
        <v>16</v>
      </c>
      <c r="K983" t="s">
        <v>17</v>
      </c>
    </row>
    <row r="984" spans="1:11" x14ac:dyDescent="0.35">
      <c r="A984" t="s">
        <v>1025</v>
      </c>
      <c r="B984" s="1">
        <v>45592</v>
      </c>
      <c r="C984" t="s">
        <v>37</v>
      </c>
      <c r="D984" t="s">
        <v>35</v>
      </c>
      <c r="E984" t="s">
        <v>14</v>
      </c>
      <c r="F984" t="s">
        <v>15</v>
      </c>
      <c r="G984">
        <v>13</v>
      </c>
      <c r="H984">
        <v>33559</v>
      </c>
      <c r="I984">
        <v>436267</v>
      </c>
      <c r="J984" t="s">
        <v>32</v>
      </c>
      <c r="K984" t="s">
        <v>33</v>
      </c>
    </row>
    <row r="985" spans="1:11" x14ac:dyDescent="0.35">
      <c r="A985" t="s">
        <v>1026</v>
      </c>
      <c r="B985" s="1">
        <v>45354</v>
      </c>
      <c r="C985" t="s">
        <v>12</v>
      </c>
      <c r="D985" t="s">
        <v>38</v>
      </c>
      <c r="E985" t="s">
        <v>39</v>
      </c>
      <c r="F985" t="s">
        <v>40</v>
      </c>
      <c r="G985">
        <v>10</v>
      </c>
      <c r="H985">
        <v>49510</v>
      </c>
      <c r="I985">
        <v>495100</v>
      </c>
      <c r="J985" t="s">
        <v>32</v>
      </c>
      <c r="K985" t="s">
        <v>17</v>
      </c>
    </row>
    <row r="986" spans="1:11" x14ac:dyDescent="0.35">
      <c r="A986" t="s">
        <v>1027</v>
      </c>
      <c r="B986" s="1">
        <v>45587</v>
      </c>
      <c r="C986" t="s">
        <v>43</v>
      </c>
      <c r="D986" t="s">
        <v>38</v>
      </c>
      <c r="E986" t="s">
        <v>30</v>
      </c>
      <c r="F986" t="s">
        <v>44</v>
      </c>
      <c r="G986">
        <v>9</v>
      </c>
      <c r="H986">
        <v>36175</v>
      </c>
      <c r="I986">
        <v>325575</v>
      </c>
      <c r="J986" t="s">
        <v>16</v>
      </c>
      <c r="K986" t="s">
        <v>22</v>
      </c>
    </row>
    <row r="987" spans="1:11" x14ac:dyDescent="0.35">
      <c r="A987" t="s">
        <v>1028</v>
      </c>
      <c r="B987" s="1">
        <v>45491</v>
      </c>
      <c r="C987" t="s">
        <v>43</v>
      </c>
      <c r="D987" t="s">
        <v>19</v>
      </c>
      <c r="E987" t="s">
        <v>39</v>
      </c>
      <c r="F987" t="s">
        <v>65</v>
      </c>
      <c r="G987">
        <v>4</v>
      </c>
      <c r="H987">
        <v>29356</v>
      </c>
      <c r="I987">
        <v>117424</v>
      </c>
      <c r="J987" t="s">
        <v>27</v>
      </c>
      <c r="K987" t="s">
        <v>17</v>
      </c>
    </row>
    <row r="988" spans="1:11" x14ac:dyDescent="0.35">
      <c r="A988" t="s">
        <v>1029</v>
      </c>
      <c r="B988" s="1">
        <v>45558</v>
      </c>
      <c r="C988" t="s">
        <v>37</v>
      </c>
      <c r="D988" t="s">
        <v>19</v>
      </c>
      <c r="E988" t="s">
        <v>25</v>
      </c>
      <c r="F988" t="s">
        <v>26</v>
      </c>
      <c r="G988">
        <v>18</v>
      </c>
      <c r="H988">
        <v>38502</v>
      </c>
      <c r="I988">
        <v>693036</v>
      </c>
      <c r="J988" t="s">
        <v>21</v>
      </c>
      <c r="K988" t="s">
        <v>17</v>
      </c>
    </row>
    <row r="989" spans="1:11" x14ac:dyDescent="0.35">
      <c r="A989" t="s">
        <v>1030</v>
      </c>
      <c r="B989" s="1">
        <v>45542</v>
      </c>
      <c r="C989" t="s">
        <v>29</v>
      </c>
      <c r="D989" t="s">
        <v>38</v>
      </c>
      <c r="E989" t="s">
        <v>30</v>
      </c>
      <c r="F989" t="s">
        <v>31</v>
      </c>
      <c r="G989">
        <v>9</v>
      </c>
      <c r="H989">
        <v>1432</v>
      </c>
      <c r="I989">
        <v>12888</v>
      </c>
      <c r="J989" t="s">
        <v>32</v>
      </c>
      <c r="K989" t="s">
        <v>17</v>
      </c>
    </row>
    <row r="990" spans="1:11" x14ac:dyDescent="0.35">
      <c r="A990" t="s">
        <v>1031</v>
      </c>
      <c r="B990" s="1">
        <v>45341</v>
      </c>
      <c r="C990" t="s">
        <v>12</v>
      </c>
      <c r="D990" t="s">
        <v>13</v>
      </c>
      <c r="E990" t="s">
        <v>25</v>
      </c>
      <c r="F990" t="s">
        <v>58</v>
      </c>
      <c r="G990">
        <v>3</v>
      </c>
      <c r="H990">
        <v>47109</v>
      </c>
      <c r="I990">
        <v>141327</v>
      </c>
      <c r="J990" t="s">
        <v>32</v>
      </c>
      <c r="K990" t="s">
        <v>22</v>
      </c>
    </row>
    <row r="991" spans="1:11" x14ac:dyDescent="0.35">
      <c r="A991" t="s">
        <v>1032</v>
      </c>
      <c r="B991" s="1">
        <v>45361</v>
      </c>
      <c r="C991" t="s">
        <v>24</v>
      </c>
      <c r="D991" t="s">
        <v>35</v>
      </c>
      <c r="E991" t="s">
        <v>39</v>
      </c>
      <c r="F991" t="s">
        <v>65</v>
      </c>
      <c r="G991">
        <v>17</v>
      </c>
      <c r="H991">
        <v>20880</v>
      </c>
      <c r="I991">
        <v>354960</v>
      </c>
      <c r="J991" t="s">
        <v>21</v>
      </c>
      <c r="K991" t="s">
        <v>22</v>
      </c>
    </row>
    <row r="992" spans="1:11" x14ac:dyDescent="0.35">
      <c r="A992" t="s">
        <v>1033</v>
      </c>
      <c r="B992" s="1">
        <v>45447</v>
      </c>
      <c r="C992" t="s">
        <v>37</v>
      </c>
      <c r="D992" t="s">
        <v>38</v>
      </c>
      <c r="E992" t="s">
        <v>39</v>
      </c>
      <c r="F992" t="s">
        <v>65</v>
      </c>
      <c r="G992">
        <v>8</v>
      </c>
      <c r="H992">
        <v>34633</v>
      </c>
      <c r="I992">
        <v>277064</v>
      </c>
      <c r="J992" t="s">
        <v>32</v>
      </c>
      <c r="K992" t="s">
        <v>17</v>
      </c>
    </row>
    <row r="993" spans="1:11" x14ac:dyDescent="0.35">
      <c r="A993" t="s">
        <v>1034</v>
      </c>
      <c r="B993" s="1">
        <v>45338</v>
      </c>
      <c r="C993" t="s">
        <v>29</v>
      </c>
      <c r="D993" t="s">
        <v>13</v>
      </c>
      <c r="E993" t="s">
        <v>39</v>
      </c>
      <c r="F993" t="s">
        <v>55</v>
      </c>
      <c r="G993">
        <v>2</v>
      </c>
      <c r="H993">
        <v>12398</v>
      </c>
      <c r="I993">
        <v>24796</v>
      </c>
      <c r="J993" t="s">
        <v>21</v>
      </c>
      <c r="K993" t="s">
        <v>17</v>
      </c>
    </row>
    <row r="994" spans="1:11" x14ac:dyDescent="0.35">
      <c r="A994" t="s">
        <v>1035</v>
      </c>
      <c r="B994" s="1">
        <v>45486</v>
      </c>
      <c r="C994" t="s">
        <v>29</v>
      </c>
      <c r="D994" t="s">
        <v>38</v>
      </c>
      <c r="E994" t="s">
        <v>14</v>
      </c>
      <c r="F994" t="s">
        <v>20</v>
      </c>
      <c r="G994">
        <v>9</v>
      </c>
      <c r="H994">
        <v>21738</v>
      </c>
      <c r="I994">
        <v>195642</v>
      </c>
      <c r="J994" t="s">
        <v>16</v>
      </c>
      <c r="K994" t="s">
        <v>22</v>
      </c>
    </row>
    <row r="995" spans="1:11" x14ac:dyDescent="0.35">
      <c r="A995" t="s">
        <v>1036</v>
      </c>
      <c r="B995" s="1">
        <v>45606</v>
      </c>
      <c r="C995" t="s">
        <v>37</v>
      </c>
      <c r="D995" t="s">
        <v>13</v>
      </c>
      <c r="E995" t="s">
        <v>14</v>
      </c>
      <c r="F995" t="s">
        <v>20</v>
      </c>
      <c r="G995">
        <v>1</v>
      </c>
      <c r="H995">
        <v>41620</v>
      </c>
      <c r="I995">
        <v>41620</v>
      </c>
      <c r="J995" t="s">
        <v>32</v>
      </c>
      <c r="K995" t="s">
        <v>17</v>
      </c>
    </row>
    <row r="996" spans="1:11" x14ac:dyDescent="0.35">
      <c r="A996" t="s">
        <v>1037</v>
      </c>
      <c r="B996" s="1">
        <v>45573</v>
      </c>
      <c r="C996" t="s">
        <v>37</v>
      </c>
      <c r="D996" t="s">
        <v>13</v>
      </c>
      <c r="E996" t="s">
        <v>14</v>
      </c>
      <c r="F996" t="s">
        <v>20</v>
      </c>
      <c r="G996">
        <v>7</v>
      </c>
      <c r="H996">
        <v>38942</v>
      </c>
      <c r="I996">
        <v>272594</v>
      </c>
      <c r="J996" t="s">
        <v>27</v>
      </c>
      <c r="K996" t="s">
        <v>22</v>
      </c>
    </row>
    <row r="997" spans="1:11" x14ac:dyDescent="0.35">
      <c r="A997" t="s">
        <v>1038</v>
      </c>
      <c r="B997" s="1">
        <v>45371</v>
      </c>
      <c r="C997" t="s">
        <v>24</v>
      </c>
      <c r="D997" t="s">
        <v>13</v>
      </c>
      <c r="E997" t="s">
        <v>14</v>
      </c>
      <c r="F997" t="s">
        <v>20</v>
      </c>
      <c r="G997">
        <v>1</v>
      </c>
      <c r="H997">
        <v>716</v>
      </c>
      <c r="I997">
        <v>716</v>
      </c>
      <c r="J997" t="s">
        <v>27</v>
      </c>
      <c r="K997" t="s">
        <v>17</v>
      </c>
    </row>
    <row r="998" spans="1:11" x14ac:dyDescent="0.35">
      <c r="A998" t="s">
        <v>1039</v>
      </c>
      <c r="B998" s="1">
        <v>45445</v>
      </c>
      <c r="C998" t="s">
        <v>43</v>
      </c>
      <c r="D998" t="s">
        <v>13</v>
      </c>
      <c r="E998" t="s">
        <v>14</v>
      </c>
      <c r="F998" t="s">
        <v>20</v>
      </c>
      <c r="G998">
        <v>5</v>
      </c>
      <c r="H998">
        <v>13150</v>
      </c>
      <c r="I998">
        <v>65750</v>
      </c>
      <c r="J998" t="s">
        <v>32</v>
      </c>
      <c r="K998" t="s">
        <v>17</v>
      </c>
    </row>
    <row r="999" spans="1:11" x14ac:dyDescent="0.35">
      <c r="A999" t="s">
        <v>1040</v>
      </c>
      <c r="B999" s="1">
        <v>45516</v>
      </c>
      <c r="C999" t="s">
        <v>29</v>
      </c>
      <c r="D999" t="s">
        <v>19</v>
      </c>
      <c r="E999" t="s">
        <v>14</v>
      </c>
      <c r="F999" t="s">
        <v>20</v>
      </c>
      <c r="G999">
        <v>4</v>
      </c>
      <c r="H999">
        <v>31120</v>
      </c>
      <c r="I999">
        <v>124480</v>
      </c>
      <c r="J999" t="s">
        <v>27</v>
      </c>
      <c r="K999" t="s">
        <v>22</v>
      </c>
    </row>
    <row r="1000" spans="1:11" x14ac:dyDescent="0.35">
      <c r="A1000" t="s">
        <v>1041</v>
      </c>
      <c r="B1000" s="1">
        <v>45630</v>
      </c>
      <c r="C1000" t="s">
        <v>43</v>
      </c>
      <c r="D1000" t="s">
        <v>35</v>
      </c>
      <c r="E1000" t="s">
        <v>14</v>
      </c>
      <c r="F1000" t="s">
        <v>15</v>
      </c>
      <c r="G1000">
        <v>10</v>
      </c>
      <c r="H1000">
        <v>48984</v>
      </c>
      <c r="I1000">
        <v>489840</v>
      </c>
      <c r="J1000" t="s">
        <v>32</v>
      </c>
      <c r="K1000" t="s">
        <v>22</v>
      </c>
    </row>
    <row r="1001" spans="1:11" x14ac:dyDescent="0.35">
      <c r="A1001" t="s">
        <v>1042</v>
      </c>
      <c r="B1001" s="1">
        <v>45427</v>
      </c>
      <c r="C1001" t="s">
        <v>29</v>
      </c>
      <c r="D1001" t="s">
        <v>19</v>
      </c>
      <c r="E1001" t="s">
        <v>39</v>
      </c>
      <c r="F1001" t="s">
        <v>55</v>
      </c>
      <c r="G1001">
        <v>18</v>
      </c>
      <c r="H1001">
        <v>35032</v>
      </c>
      <c r="I1001">
        <v>630576</v>
      </c>
      <c r="J1001" t="s">
        <v>16</v>
      </c>
      <c r="K1001" t="s">
        <v>17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B3BB2-678F-4040-A497-317F484B4B06}">
  <dimension ref="A3:B8"/>
  <sheetViews>
    <sheetView workbookViewId="0">
      <selection activeCell="Q15" sqref="Q15"/>
    </sheetView>
  </sheetViews>
  <sheetFormatPr defaultRowHeight="14.5" x14ac:dyDescent="0.35"/>
  <cols>
    <col min="1" max="1" width="12.36328125" customWidth="1"/>
    <col min="2" max="2" width="19.36328125" customWidth="1"/>
  </cols>
  <sheetData>
    <row r="3" spans="1:2" x14ac:dyDescent="0.35">
      <c r="A3" s="2" t="s">
        <v>1043</v>
      </c>
      <c r="B3" t="s">
        <v>1045</v>
      </c>
    </row>
    <row r="4" spans="1:2" x14ac:dyDescent="0.35">
      <c r="A4" s="3" t="s">
        <v>19</v>
      </c>
      <c r="B4">
        <v>78783879</v>
      </c>
    </row>
    <row r="5" spans="1:2" x14ac:dyDescent="0.35">
      <c r="A5" s="3" t="s">
        <v>35</v>
      </c>
      <c r="B5">
        <v>70086219</v>
      </c>
    </row>
    <row r="6" spans="1:2" x14ac:dyDescent="0.35">
      <c r="A6" s="3" t="s">
        <v>38</v>
      </c>
      <c r="B6">
        <v>66908259</v>
      </c>
    </row>
    <row r="7" spans="1:2" x14ac:dyDescent="0.35">
      <c r="A7" s="3" t="s">
        <v>13</v>
      </c>
      <c r="B7">
        <v>64936936</v>
      </c>
    </row>
    <row r="8" spans="1:2" x14ac:dyDescent="0.35">
      <c r="A8" s="3" t="s">
        <v>1044</v>
      </c>
      <c r="B8">
        <v>280715293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39F92-F210-47A6-BD4C-5052529A9627}">
  <dimension ref="A3:Q17"/>
  <sheetViews>
    <sheetView workbookViewId="0">
      <selection activeCell="I19" sqref="I19"/>
    </sheetView>
  </sheetViews>
  <sheetFormatPr defaultRowHeight="14.5" x14ac:dyDescent="0.35"/>
  <cols>
    <col min="1" max="1" width="12.36328125" customWidth="1"/>
    <col min="2" max="2" width="14.54296875" customWidth="1"/>
    <col min="3" max="3" width="19.36328125" customWidth="1"/>
  </cols>
  <sheetData>
    <row r="3" spans="1:3" x14ac:dyDescent="0.35">
      <c r="A3" s="2" t="s">
        <v>1043</v>
      </c>
      <c r="B3" t="s">
        <v>1046</v>
      </c>
      <c r="C3" t="s">
        <v>1045</v>
      </c>
    </row>
    <row r="4" spans="1:3" x14ac:dyDescent="0.35">
      <c r="A4" s="3" t="s">
        <v>25</v>
      </c>
      <c r="B4">
        <v>2842</v>
      </c>
      <c r="C4">
        <v>71012894</v>
      </c>
    </row>
    <row r="5" spans="1:3" x14ac:dyDescent="0.35">
      <c r="A5" s="3" t="s">
        <v>39</v>
      </c>
      <c r="B5">
        <v>2760</v>
      </c>
      <c r="C5">
        <v>74331511</v>
      </c>
    </row>
    <row r="6" spans="1:3" x14ac:dyDescent="0.35">
      <c r="A6" s="3" t="s">
        <v>14</v>
      </c>
      <c r="B6">
        <v>2672</v>
      </c>
      <c r="C6">
        <v>70922600</v>
      </c>
    </row>
    <row r="7" spans="1:3" x14ac:dyDescent="0.35">
      <c r="A7" s="3" t="s">
        <v>30</v>
      </c>
      <c r="B7">
        <v>2491</v>
      </c>
      <c r="C7">
        <v>64448288</v>
      </c>
    </row>
    <row r="8" spans="1:3" x14ac:dyDescent="0.35">
      <c r="A8" s="3" t="s">
        <v>1044</v>
      </c>
      <c r="B8">
        <v>10765</v>
      </c>
      <c r="C8">
        <v>280715293</v>
      </c>
    </row>
    <row r="17" spans="17:17" x14ac:dyDescent="0.35">
      <c r="Q17" t="s">
        <v>1047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55CF7-012F-48B9-814F-625A10843731}">
  <dimension ref="A3:Q17"/>
  <sheetViews>
    <sheetView workbookViewId="0">
      <selection activeCell="J17" sqref="J17"/>
    </sheetView>
  </sheetViews>
  <sheetFormatPr defaultRowHeight="14.5" x14ac:dyDescent="0.35"/>
  <cols>
    <col min="1" max="1" width="12.36328125" customWidth="1"/>
    <col min="2" max="3" width="19.36328125" customWidth="1"/>
  </cols>
  <sheetData>
    <row r="3" spans="1:2" x14ac:dyDescent="0.35">
      <c r="A3" s="2" t="s">
        <v>1043</v>
      </c>
      <c r="B3" t="s">
        <v>1045</v>
      </c>
    </row>
    <row r="4" spans="1:2" x14ac:dyDescent="0.35">
      <c r="A4" s="3" t="s">
        <v>21</v>
      </c>
      <c r="B4">
        <v>72464113</v>
      </c>
    </row>
    <row r="5" spans="1:2" x14ac:dyDescent="0.35">
      <c r="A5" s="3" t="s">
        <v>27</v>
      </c>
      <c r="B5">
        <v>71333530</v>
      </c>
    </row>
    <row r="6" spans="1:2" x14ac:dyDescent="0.35">
      <c r="A6" s="3" t="s">
        <v>32</v>
      </c>
      <c r="B6">
        <v>66781928</v>
      </c>
    </row>
    <row r="7" spans="1:2" x14ac:dyDescent="0.35">
      <c r="A7" s="3" t="s">
        <v>16</v>
      </c>
      <c r="B7">
        <v>70135722</v>
      </c>
    </row>
    <row r="8" spans="1:2" x14ac:dyDescent="0.35">
      <c r="A8" s="3" t="s">
        <v>1044</v>
      </c>
      <c r="B8">
        <v>280715293</v>
      </c>
    </row>
    <row r="17" spans="17:17" x14ac:dyDescent="0.35">
      <c r="Q17" t="s">
        <v>1047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6D538-55A4-4D37-803D-42056322A5E8}">
  <dimension ref="A3:Q17"/>
  <sheetViews>
    <sheetView workbookViewId="0">
      <selection activeCell="C11" sqref="C11"/>
    </sheetView>
  </sheetViews>
  <sheetFormatPr defaultRowHeight="14.5" x14ac:dyDescent="0.35"/>
  <cols>
    <col min="1" max="1" width="12.36328125" customWidth="1"/>
    <col min="2" max="3" width="19.36328125" customWidth="1"/>
  </cols>
  <sheetData>
    <row r="3" spans="1:2" x14ac:dyDescent="0.35">
      <c r="A3" s="2" t="s">
        <v>1043</v>
      </c>
      <c r="B3" t="s">
        <v>1045</v>
      </c>
    </row>
    <row r="4" spans="1:2" x14ac:dyDescent="0.35">
      <c r="A4" s="3" t="s">
        <v>33</v>
      </c>
      <c r="B4">
        <v>92735510</v>
      </c>
    </row>
    <row r="5" spans="1:2" x14ac:dyDescent="0.35">
      <c r="A5" s="3" t="s">
        <v>17</v>
      </c>
      <c r="B5">
        <v>97883667</v>
      </c>
    </row>
    <row r="6" spans="1:2" x14ac:dyDescent="0.35">
      <c r="A6" s="3" t="s">
        <v>22</v>
      </c>
      <c r="B6">
        <v>90096116</v>
      </c>
    </row>
    <row r="7" spans="1:2" x14ac:dyDescent="0.35">
      <c r="A7" s="3" t="s">
        <v>1044</v>
      </c>
      <c r="B7">
        <v>280715293</v>
      </c>
    </row>
    <row r="17" spans="17:17" x14ac:dyDescent="0.35">
      <c r="Q17" t="s">
        <v>1047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AA6FB-881E-41C9-BF12-B59F5B7ACE4E}">
  <dimension ref="A1:AD8"/>
  <sheetViews>
    <sheetView showGridLines="0" tabSelected="1" zoomScale="80" zoomScaleNormal="80" workbookViewId="0">
      <selection activeCell="J37" sqref="J37"/>
    </sheetView>
  </sheetViews>
  <sheetFormatPr defaultColWidth="0" defaultRowHeight="14.5" x14ac:dyDescent="0.35"/>
  <cols>
    <col min="1" max="24" width="8.7265625" customWidth="1"/>
    <col min="25" max="30" width="0" hidden="1" customWidth="1"/>
    <col min="31" max="16384" width="8.7265625" hidden="1"/>
  </cols>
  <sheetData>
    <row r="1" spans="1:30" x14ac:dyDescent="0.35">
      <c r="A1" s="5" t="s">
        <v>1048</v>
      </c>
      <c r="B1" s="5"/>
      <c r="C1" s="5"/>
      <c r="D1" s="5"/>
      <c r="E1" s="5"/>
      <c r="F1" s="5"/>
      <c r="G1" s="5"/>
      <c r="H1" s="5"/>
      <c r="I1" s="5"/>
      <c r="J1" s="5"/>
      <c r="K1" s="5"/>
      <c r="L1" s="5"/>
      <c r="M1" s="5"/>
      <c r="N1" s="5"/>
      <c r="O1" s="5"/>
      <c r="P1" s="5"/>
      <c r="Q1" s="5"/>
      <c r="R1" s="5"/>
      <c r="S1" s="5"/>
      <c r="T1" s="5"/>
      <c r="U1" s="4"/>
      <c r="V1" s="4"/>
      <c r="W1" s="4"/>
      <c r="X1" s="4"/>
      <c r="Y1" s="4"/>
      <c r="Z1" s="4"/>
      <c r="AA1" s="4"/>
      <c r="AB1" s="4"/>
      <c r="AC1" s="4"/>
      <c r="AD1" s="4"/>
    </row>
    <row r="2" spans="1:30" x14ac:dyDescent="0.35">
      <c r="A2" s="5"/>
      <c r="B2" s="5"/>
      <c r="C2" s="5"/>
      <c r="D2" s="5"/>
      <c r="E2" s="5"/>
      <c r="F2" s="5"/>
      <c r="G2" s="5"/>
      <c r="H2" s="5"/>
      <c r="I2" s="5"/>
      <c r="J2" s="5"/>
      <c r="K2" s="5"/>
      <c r="L2" s="5"/>
      <c r="M2" s="5"/>
      <c r="N2" s="5"/>
      <c r="O2" s="5"/>
      <c r="P2" s="5"/>
      <c r="Q2" s="5"/>
      <c r="R2" s="5"/>
      <c r="S2" s="5"/>
      <c r="T2" s="5"/>
      <c r="U2" s="4"/>
      <c r="V2" s="4"/>
      <c r="W2" s="4"/>
      <c r="X2" s="4"/>
      <c r="Y2" s="4"/>
      <c r="Z2" s="4"/>
      <c r="AA2" s="4"/>
      <c r="AB2" s="4"/>
      <c r="AC2" s="4"/>
      <c r="AD2" s="4"/>
    </row>
    <row r="3" spans="1:30" x14ac:dyDescent="0.35">
      <c r="A3" s="5"/>
      <c r="B3" s="5"/>
      <c r="C3" s="5"/>
      <c r="D3" s="5"/>
      <c r="E3" s="5"/>
      <c r="F3" s="5"/>
      <c r="G3" s="5"/>
      <c r="H3" s="5"/>
      <c r="I3" s="5"/>
      <c r="J3" s="5"/>
      <c r="K3" s="5"/>
      <c r="L3" s="5"/>
      <c r="M3" s="5"/>
      <c r="N3" s="5"/>
      <c r="O3" s="5"/>
      <c r="P3" s="5"/>
      <c r="Q3" s="5"/>
      <c r="R3" s="5"/>
      <c r="S3" s="5"/>
      <c r="T3" s="5"/>
      <c r="U3" s="4"/>
      <c r="V3" s="4"/>
      <c r="W3" s="4"/>
      <c r="X3" s="4"/>
      <c r="Y3" s="4"/>
      <c r="Z3" s="4"/>
      <c r="AA3" s="4"/>
      <c r="AB3" s="4"/>
      <c r="AC3" s="4"/>
      <c r="AD3" s="4"/>
    </row>
    <row r="5" spans="1:30" x14ac:dyDescent="0.35">
      <c r="F5" s="6"/>
      <c r="G5" s="6"/>
      <c r="H5" s="6"/>
      <c r="J5" s="6"/>
      <c r="K5" s="6"/>
      <c r="L5" s="6"/>
      <c r="N5" s="6"/>
      <c r="O5" s="6"/>
      <c r="P5" s="6"/>
    </row>
    <row r="6" spans="1:30" x14ac:dyDescent="0.35">
      <c r="F6" s="6"/>
      <c r="G6" s="6"/>
      <c r="H6" s="6"/>
      <c r="J6" s="6"/>
      <c r="K6" s="6"/>
      <c r="L6" s="6"/>
      <c r="N6" s="6"/>
      <c r="O6" s="6"/>
      <c r="P6" s="6"/>
    </row>
    <row r="7" spans="1:30" x14ac:dyDescent="0.35">
      <c r="F7" s="7">
        <f>GETPIVOTDATA("Total_Amount",Pivot_Region_Sales!$A$3)</f>
        <v>280715293</v>
      </c>
      <c r="G7" s="7"/>
      <c r="H7" s="7"/>
      <c r="J7" s="8">
        <f>GETPIVOTDATA("Sum of Quantity",Pivot_Category_Analysis!$A$3)</f>
        <v>10765</v>
      </c>
      <c r="K7" s="8"/>
      <c r="L7" s="8"/>
      <c r="N7" s="7">
        <f>GETPIVOTDATA("Total_Amount",Pivot_Payment_Status!$A$3,"Payment_Status","Paid")</f>
        <v>92735510</v>
      </c>
      <c r="O7" s="7"/>
      <c r="P7" s="7"/>
    </row>
    <row r="8" spans="1:30" x14ac:dyDescent="0.35">
      <c r="F8" s="7"/>
      <c r="G8" s="7"/>
      <c r="H8" s="7"/>
      <c r="J8" s="8"/>
      <c r="K8" s="8"/>
      <c r="L8" s="8"/>
      <c r="N8" s="7"/>
      <c r="O8" s="7"/>
      <c r="P8" s="7"/>
    </row>
  </sheetData>
  <mergeCells count="7">
    <mergeCell ref="A1:T3"/>
    <mergeCell ref="F5:H6"/>
    <mergeCell ref="J5:L6"/>
    <mergeCell ref="N5:P6"/>
    <mergeCell ref="F7:H8"/>
    <mergeCell ref="J7:L8"/>
    <mergeCell ref="N7:P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Sales_Data</vt:lpstr>
      <vt:lpstr>Pivot_Region_Sales</vt:lpstr>
      <vt:lpstr>Pivot_Category_Analysis</vt:lpstr>
      <vt:lpstr>Pivot_Sales_Person</vt:lpstr>
      <vt:lpstr>Pivot_Payment_Status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Ahtasham G</cp:lastModifiedBy>
  <dcterms:created xsi:type="dcterms:W3CDTF">2026-01-19T15:33:29Z</dcterms:created>
  <dcterms:modified xsi:type="dcterms:W3CDTF">2026-02-13T18:03:23Z</dcterms:modified>
</cp:coreProperties>
</file>